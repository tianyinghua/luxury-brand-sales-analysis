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ying/Desktop/"/>
    </mc:Choice>
  </mc:AlternateContent>
  <xr:revisionPtr revIDLastSave="0" documentId="13_ncr:1_{B9D1D66F-BD08-3448-87F0-019F24E7B0F6}" xr6:coauthVersionLast="47" xr6:coauthVersionMax="47" xr10:uidLastSave="{00000000-0000-0000-0000-000000000000}"/>
  <bookViews>
    <workbookView xWindow="7120" yWindow="1060" windowWidth="24000" windowHeight="20080" xr2:uid="{B445DCDB-AB1C-0343-B88E-3F931EE976E2}"/>
  </bookViews>
  <sheets>
    <sheet name="Sheet2" sheetId="2" r:id="rId1"/>
    <sheet name="Sheet1" sheetId="1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3" i="2"/>
  <c r="D14" i="2"/>
  <c r="D11" i="2"/>
  <c r="A29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" i="1"/>
  <c r="B2" i="1" a="1"/>
  <c r="B2" i="1" s="1"/>
  <c r="C2" i="1" a="1"/>
  <c r="C2" i="1" s="1"/>
  <c r="B3" i="1" a="1"/>
  <c r="B3" i="1" s="1"/>
  <c r="C3" i="1" a="1"/>
  <c r="C3" i="1" s="1"/>
  <c r="B4" i="1" a="1"/>
  <c r="B4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<sst xmlns="http://schemas.openxmlformats.org/spreadsheetml/2006/main" count="51" uniqueCount="33">
  <si>
    <t>Date</t>
  </si>
  <si>
    <t>Brand</t>
  </si>
  <si>
    <t>City Tier</t>
  </si>
  <si>
    <t>Sales (Million RMB)</t>
  </si>
  <si>
    <t>Avg Price (RMB)</t>
  </si>
  <si>
    <t>Marketing Spend (Million RMB)</t>
  </si>
  <si>
    <t>Store Count</t>
  </si>
  <si>
    <t>Online Sales %</t>
  </si>
  <si>
    <t>Brand List</t>
  </si>
  <si>
    <t>Louis Vuitton</t>
  </si>
  <si>
    <t>Dior</t>
  </si>
  <si>
    <t>Gucci</t>
  </si>
  <si>
    <t>Chanel</t>
  </si>
  <si>
    <t>City Tier List</t>
  </si>
  <si>
    <t>Tier 1</t>
  </si>
  <si>
    <t>New Tier 1</t>
  </si>
  <si>
    <t>Tier 2</t>
  </si>
  <si>
    <t>Date List</t>
  </si>
  <si>
    <t>Row Labels</t>
  </si>
  <si>
    <t>2023</t>
  </si>
  <si>
    <t>2024</t>
  </si>
  <si>
    <t>Column Labels</t>
  </si>
  <si>
    <t>Sum of Sales (Million RMB)</t>
  </si>
  <si>
    <t>#</t>
  </si>
  <si>
    <t>Total Sum of Sales (Million RMB)</t>
  </si>
  <si>
    <t>Total Sum of Sales (Million RMB)2</t>
  </si>
  <si>
    <t>Sum of Sales (Million RMB)2</t>
  </si>
  <si>
    <t>Total Sum of Marketing Spend (Million RMB)</t>
  </si>
  <si>
    <t>Sum of Marketing Spend (Million RMB)</t>
  </si>
  <si>
    <t>Sales Growth%</t>
  </si>
  <si>
    <t>Marketing Growth%</t>
  </si>
  <si>
    <t>Marketing Efficiency</t>
  </si>
  <si>
    <t>Luxury Brand Sales &amp; Marketing Efficiency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</si>
</sst>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2" borderId="1" xfId="0" applyNumberFormat="1" applyFill="1" applyBorder="1"/>
    <xf numFmtId="17" fontId="0" fillId="0" borderId="1" xfId="0" applyNumberFormat="1" applyBorder="1"/>
    <xf numFmtId="14" fontId="2" fillId="0" borderId="0" xfId="0" applyNumberFormat="1" applyFont="1"/>
    <xf numFmtId="0" fontId="2" fillId="0" borderId="0" xfId="0" applyFont="1"/>
    <xf numFmtId="9" fontId="2" fillId="0" borderId="0" xfId="1" applyFont="1" applyFill="1"/>
    <xf numFmtId="9" fontId="0" fillId="0" borderId="0" xfId="1" applyFon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3" formatCode="0%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yyyy/m/d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[luxury_brand_sales_analysis.xlsx]Sheet2!PivotTable1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Chanel - Sum of Sales (Million RMB)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Sheet2!$B$6:$B$8</c:f>
              <c:numCache>
                <c:formatCode>General</c:formatCode>
                <c:ptCount val="2"/>
                <c:pt idx="0">
                  <c:v>2922</c:v>
                </c:pt>
                <c:pt idx="1">
                  <c:v>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2-3A46-90DC-C29820D5A98C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Chanel - Sum of Sales (Million RMB)2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Sheet2!$C$6:$C$8</c:f>
              <c:numCache>
                <c:formatCode>0.00%</c:formatCode>
                <c:ptCount val="2"/>
                <c:pt idx="1">
                  <c:v>-7.1868583162217657E-3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2-3A46-90DC-C29820D5A98C}"/>
            </c:ext>
          </c:extLst>
        </c:ser>
        <c:ser>
          <c:idx val="2"/>
          <c:order val="2"/>
          <c:tx>
            <c:strRef>
              <c:f>Sheet2!$D$3:$D$5</c:f>
              <c:strCache>
                <c:ptCount val="1"/>
                <c:pt idx="0">
                  <c:v>Chanel - Sum of Marketing Spend (Million RMB)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Sheet2!$D$6:$D$8</c:f>
              <c:numCache>
                <c:formatCode>0.00%</c:formatCode>
                <c:ptCount val="2"/>
                <c:pt idx="1">
                  <c:v>-2.0151133501259445E-2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12-3A46-90DC-C29820D5A98C}"/>
            </c:ext>
          </c:extLst>
        </c:ser>
        <c:ser>
          <c:idx val="3"/>
          <c:order val="3"/>
          <c:tx>
            <c:strRef>
              <c:f>Sheet2!$E$3:$E$5</c:f>
              <c:strCache>
                <c:ptCount val="1"/>
                <c:pt idx="0">
                  <c:v>Dior - Sum of Sales (Million RMB)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Sheet2!$E$6:$E$8</c:f>
              <c:numCache>
                <c:formatCode>General</c:formatCode>
                <c:ptCount val="2"/>
                <c:pt idx="0">
                  <c:v>3891</c:v>
                </c:pt>
                <c:pt idx="1">
                  <c:v>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2-3A46-90DC-C29820D5A98C}"/>
            </c:ext>
          </c:extLst>
        </c:ser>
        <c:ser>
          <c:idx val="4"/>
          <c:order val="4"/>
          <c:tx>
            <c:strRef>
              <c:f>Sheet2!$F$3:$F$5</c:f>
              <c:strCache>
                <c:ptCount val="1"/>
                <c:pt idx="0">
                  <c:v>Dior - Sum of Sales (Million RMB)2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Sheet2!$F$6:$F$8</c:f>
              <c:numCache>
                <c:formatCode>0.00%</c:formatCode>
                <c:ptCount val="2"/>
                <c:pt idx="1">
                  <c:v>-1.1822153687997944E-2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12-3A46-90DC-C29820D5A98C}"/>
            </c:ext>
          </c:extLst>
        </c:ser>
        <c:ser>
          <c:idx val="5"/>
          <c:order val="5"/>
          <c:tx>
            <c:strRef>
              <c:f>Sheet2!$G$3:$G$5</c:f>
              <c:strCache>
                <c:ptCount val="1"/>
                <c:pt idx="0">
                  <c:v>Dior - Sum of Marketing Spend (Million RMB)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Sheet2!$G$6:$G$8</c:f>
              <c:numCache>
                <c:formatCode>0.00%</c:formatCode>
                <c:ptCount val="2"/>
                <c:pt idx="1">
                  <c:v>-5.681818181818182E-3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12-3A46-90DC-C29820D5A98C}"/>
            </c:ext>
          </c:extLst>
        </c:ser>
        <c:ser>
          <c:idx val="6"/>
          <c:order val="6"/>
          <c:tx>
            <c:strRef>
              <c:f>Sheet2!$H$3:$H$5</c:f>
              <c:strCache>
                <c:ptCount val="1"/>
                <c:pt idx="0">
                  <c:v>Gucci - Sum of Sales (Million RMB)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Sheet2!$H$6:$H$8</c:f>
              <c:numCache>
                <c:formatCode>General</c:formatCode>
                <c:ptCount val="2"/>
                <c:pt idx="0">
                  <c:v>3414</c:v>
                </c:pt>
                <c:pt idx="1">
                  <c:v>3421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12-3A46-90DC-C29820D5A98C}"/>
            </c:ext>
          </c:extLst>
        </c:ser>
        <c:ser>
          <c:idx val="7"/>
          <c:order val="7"/>
          <c:tx>
            <c:strRef>
              <c:f>Sheet2!$I$3:$I$5</c:f>
              <c:strCache>
                <c:ptCount val="1"/>
                <c:pt idx="0">
                  <c:v>Gucci - Sum of Sales (Million RMB)2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Sheet2!$I$6:$I$8</c:f>
              <c:numCache>
                <c:formatCode>0.00%</c:formatCode>
                <c:ptCount val="2"/>
                <c:pt idx="1">
                  <c:v>2.0503807850029291E-3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12-3A46-90DC-C29820D5A98C}"/>
            </c:ext>
          </c:extLst>
        </c:ser>
        <c:ser>
          <c:idx val="8"/>
          <c:order val="8"/>
          <c:tx>
            <c:strRef>
              <c:f>Sheet2!$J$3:$J$5</c:f>
              <c:strCache>
                <c:ptCount val="1"/>
                <c:pt idx="0">
                  <c:v>Gucci - Sum of Marketing Spend (Million RMB)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Sheet2!$J$6:$J$8</c:f>
              <c:numCache>
                <c:formatCode>0.00%</c:formatCode>
                <c:ptCount val="2"/>
                <c:pt idx="1">
                  <c:v>-1.834862385321101E-3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12-3A46-90DC-C29820D5A98C}"/>
            </c:ext>
          </c:extLst>
        </c:ser>
        <c:ser>
          <c:idx val="9"/>
          <c:order val="9"/>
          <c:tx>
            <c:strRef>
              <c:f>Sheet2!$K$3:$K$5</c:f>
              <c:strCache>
                <c:ptCount val="1"/>
                <c:pt idx="0">
                  <c:v>Louis Vuitton - Sum of Sales (Million RMB)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Sheet2!$K$6:$K$8</c:f>
              <c:numCache>
                <c:formatCode>General</c:formatCode>
                <c:ptCount val="2"/>
                <c:pt idx="0">
                  <c:v>5112</c:v>
                </c:pt>
                <c:pt idx="1">
                  <c:v>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12-3A46-90DC-C29820D5A98C}"/>
            </c:ext>
          </c:extLst>
        </c:ser>
        <c:ser>
          <c:idx val="10"/>
          <c:order val="10"/>
          <c:tx>
            <c:strRef>
              <c:f>Sheet2!$L$3:$L$5</c:f>
              <c:strCache>
                <c:ptCount val="1"/>
                <c:pt idx="0">
                  <c:v>Louis Vuitton - Sum of Sales (Million RMB)2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Sheet2!$L$6:$L$8</c:f>
              <c:numCache>
                <c:formatCode>0.00%</c:formatCode>
                <c:ptCount val="2"/>
                <c:pt idx="1">
                  <c:v>-9.9765258215962441E-3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12-3A46-90DC-C29820D5A98C}"/>
            </c:ext>
          </c:extLst>
        </c:ser>
        <c:ser>
          <c:idx val="11"/>
          <c:order val="11"/>
          <c:tx>
            <c:strRef>
              <c:f>Sheet2!$M$3:$M$5</c:f>
              <c:strCache>
                <c:ptCount val="1"/>
                <c:pt idx="0">
                  <c:v>Louis Vuitton - Sum of Marketing Spend (Million RMB)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Sheet2!$M$6:$M$8</c:f>
              <c:numCache>
                <c:formatCode>0.00%</c:formatCode>
                <c:ptCount val="2"/>
                <c:pt idx="1">
                  <c:v>1.9323671497584541E-3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12-3A46-90DC-C29820D5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823024"/>
        <c:axId val="567261200"/>
      </c:lineChart>
      <c:catAx>
        <c:axId val="20088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67261200"/>
        <c:crosses val="autoZero"/>
        <c:auto val="1"/>
        <c:lblAlgn val="ctr"/>
        <c:lblOffset val="100"/>
        <c:noMultiLvlLbl val="0"/>
      </c:catAx>
      <c:valAx>
        <c:axId val="567261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088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348723</xdr:colOff>
      <xdr:row>7</xdr:row>
      <xdr:rowOff>108547</xdr:rowOff>
    </xdr:from>
    <xdr:to>
      <xdr:col>14</xdr:col>
      <xdr:colOff>43419</xdr:colOff>
      <xdr:row>30</xdr:row>
      <xdr:rowOff>75983</xdr:rowOff>
    </xdr:to>
    <xdr:graphicFrame macro="">
      <xdr:nvGraphicFramePr>
        <xdr:cNvPr id="2" name="Luxury Brand Monthly Sales Trend (2023–2024)">
          <a:extLst>
            <a:ext uri="{FF2B5EF4-FFF2-40B4-BE49-F238E27FC236}">
              <a16:creationId xmlns:a16="http://schemas.microsoft.com/office/drawing/2014/main" id="{C55DD366-5877-B285-216B-4316A2559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nying" refreshedDate="46081.67544201389" createdVersion="8" refreshedVersion="8" minRefreshableVersion="3" recordCount="291" xr:uid="{A9E13288-4F43-324A-89B3-6FEABD079AF0}">
  <cacheSource type="worksheet">
    <worksheetSource name="Table1"/>
  </cacheSource>
  <cacheFields count="10">
    <cacheField name="Date" numFmtId="14">
      <sharedItems containsSemiMixedTypes="0" containsNonDate="0" containsDate="1" containsString="0" minDate="2023-01-01T00:00:00" maxDate="2025-01-02T00:00:00" count="25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</sharedItems>
      <fieldGroup par="9"/>
    </cacheField>
    <cacheField name="Brand" numFmtId="0">
      <sharedItems count="4">
        <s v="Louis Vuitton"/>
        <s v="Dior"/>
        <s v="Gucci"/>
        <s v="Chanel"/>
      </sharedItems>
    </cacheField>
    <cacheField name="City Tier" numFmtId="0">
      <sharedItems/>
    </cacheField>
    <cacheField name="Sales (Million RMB)" numFmtId="0">
      <sharedItems containsSemiMixedTypes="0" containsString="0" containsNumber="1" containsInteger="1" minValue="56" maxValue="185"/>
    </cacheField>
    <cacheField name="Avg Price (RMB)" numFmtId="0">
      <sharedItems containsSemiMixedTypes="0" containsString="0" containsNumber="1" containsInteger="1" minValue="7171" maxValue="14518"/>
    </cacheField>
    <cacheField name="Marketing Spend (Million RMB)" numFmtId="0">
      <sharedItems containsSemiMixedTypes="0" containsString="0" containsNumber="1" containsInteger="1" minValue="6" maxValue="44"/>
    </cacheField>
    <cacheField name="Store Count" numFmtId="0">
      <sharedItems containsSemiMixedTypes="0" containsString="0" containsNumber="1" containsInteger="1" minValue="7" maxValue="14"/>
    </cacheField>
    <cacheField name="Online Sales %" numFmtId="9">
      <sharedItems containsSemiMixedTypes="0" containsString="0" containsNumber="1" minValue="0.2" maxValue="0.5"/>
    </cacheField>
    <cacheField name="Months (Date)" numFmtId="0" databaseField="0">
      <fieldGroup base="0">
        <rangePr groupBy="months" startDate="2023-01-01T00:00:00" endDate="2025-01-02T00:00:00"/>
        <groupItems count="14">
          <s v="&lt;2023/1/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/1/2"/>
        </groupItems>
      </fieldGroup>
    </cacheField>
    <cacheField name="Years (Date)" numFmtId="0" databaseField="0">
      <fieldGroup base="0">
        <rangePr groupBy="years" startDate="2023-01-01T00:00:00" endDate="2025-01-02T00:00:00"/>
        <groupItems count="5">
          <s v="&lt;2023/1/1"/>
          <s v="2023"/>
          <s v="2024"/>
          <s v="2025"/>
          <s v="&gt;2025/1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s v="Tier 1"/>
    <n v="173"/>
    <n v="14247"/>
    <n v="38"/>
    <n v="12"/>
    <n v="0.49"/>
  </r>
  <r>
    <x v="0"/>
    <x v="1"/>
    <s v="Tier 1"/>
    <n v="137"/>
    <n v="11401"/>
    <n v="28"/>
    <n v="12"/>
    <n v="0.4"/>
  </r>
  <r>
    <x v="0"/>
    <x v="2"/>
    <s v="Tier 1"/>
    <n v="109"/>
    <n v="8956"/>
    <n v="20"/>
    <n v="12"/>
    <n v="0.27"/>
  </r>
  <r>
    <x v="0"/>
    <x v="3"/>
    <s v="Tier 1"/>
    <n v="102"/>
    <n v="9005"/>
    <n v="16"/>
    <n v="11"/>
    <n v="0.31"/>
  </r>
  <r>
    <x v="0"/>
    <x v="0"/>
    <s v="New Tier 1"/>
    <n v="152"/>
    <n v="13366"/>
    <n v="32"/>
    <n v="11"/>
    <n v="0.24"/>
  </r>
  <r>
    <x v="0"/>
    <x v="1"/>
    <s v="New Tier 1"/>
    <n v="113"/>
    <n v="10068"/>
    <n v="21"/>
    <n v="11"/>
    <n v="0.43"/>
  </r>
  <r>
    <x v="0"/>
    <x v="2"/>
    <s v="New Tier 1"/>
    <n v="96"/>
    <n v="9222"/>
    <n v="16"/>
    <n v="10"/>
    <n v="0.35"/>
  </r>
  <r>
    <x v="0"/>
    <x v="3"/>
    <s v="New Tier 1"/>
    <n v="85"/>
    <n v="7998"/>
    <n v="11"/>
    <n v="11"/>
    <n v="0.35"/>
  </r>
  <r>
    <x v="0"/>
    <x v="0"/>
    <s v="Tier 2"/>
    <n v="99"/>
    <n v="12327"/>
    <n v="18"/>
    <n v="8"/>
    <n v="0.45"/>
  </r>
  <r>
    <x v="0"/>
    <x v="1"/>
    <s v="Tier 2"/>
    <n v="79"/>
    <n v="9058"/>
    <n v="12"/>
    <n v="9"/>
    <n v="0.36"/>
  </r>
  <r>
    <x v="0"/>
    <x v="2"/>
    <s v="Tier 2"/>
    <n v="71"/>
    <n v="7848"/>
    <n v="9"/>
    <n v="9"/>
    <n v="0.4"/>
  </r>
  <r>
    <x v="0"/>
    <x v="3"/>
    <s v="Tier 2"/>
    <n v="59"/>
    <n v="7546"/>
    <n v="7"/>
    <n v="8"/>
    <n v="0.38"/>
  </r>
  <r>
    <x v="1"/>
    <x v="0"/>
    <s v="Tier 1"/>
    <n v="179"/>
    <n v="14419"/>
    <n v="38"/>
    <n v="12"/>
    <n v="0.3"/>
  </r>
  <r>
    <x v="1"/>
    <x v="1"/>
    <s v="Tier 1"/>
    <n v="124"/>
    <n v="11150"/>
    <n v="24"/>
    <n v="11"/>
    <n v="0.38"/>
  </r>
  <r>
    <x v="1"/>
    <x v="2"/>
    <s v="Tier 1"/>
    <n v="120"/>
    <n v="9141"/>
    <n v="19"/>
    <n v="13"/>
    <n v="0.42"/>
  </r>
  <r>
    <x v="1"/>
    <x v="3"/>
    <s v="Tier 1"/>
    <n v="104"/>
    <n v="8769"/>
    <n v="15"/>
    <n v="12"/>
    <n v="0.35"/>
  </r>
  <r>
    <x v="1"/>
    <x v="0"/>
    <s v="New Tier 1"/>
    <n v="145"/>
    <n v="13613"/>
    <n v="30"/>
    <n v="11"/>
    <n v="0.36"/>
  </r>
  <r>
    <x v="1"/>
    <x v="1"/>
    <s v="New Tier 1"/>
    <n v="114"/>
    <n v="10040"/>
    <n v="20"/>
    <n v="11"/>
    <n v="0.37"/>
  </r>
  <r>
    <x v="1"/>
    <x v="2"/>
    <s v="New Tier 1"/>
    <n v="104"/>
    <n v="8820"/>
    <n v="16"/>
    <n v="12"/>
    <n v="0.45"/>
  </r>
  <r>
    <x v="1"/>
    <x v="3"/>
    <s v="New Tier 1"/>
    <n v="85"/>
    <n v="8395"/>
    <n v="12"/>
    <n v="10"/>
    <n v="0.34"/>
  </r>
  <r>
    <x v="1"/>
    <x v="0"/>
    <s v="Tier 2"/>
    <n v="98"/>
    <n v="11844"/>
    <n v="16"/>
    <n v="8"/>
    <n v="0.47"/>
  </r>
  <r>
    <x v="1"/>
    <x v="1"/>
    <s v="Tier 2"/>
    <n v="83"/>
    <n v="9693"/>
    <n v="13"/>
    <n v="9"/>
    <n v="0.33"/>
  </r>
  <r>
    <x v="1"/>
    <x v="2"/>
    <s v="Tier 2"/>
    <n v="73"/>
    <n v="7843"/>
    <n v="11"/>
    <n v="9"/>
    <n v="0.47"/>
  </r>
  <r>
    <x v="1"/>
    <x v="3"/>
    <s v="Tier 2"/>
    <n v="65"/>
    <n v="7585"/>
    <n v="8"/>
    <n v="9"/>
    <n v="0.32"/>
  </r>
  <r>
    <x v="2"/>
    <x v="0"/>
    <s v="Tier 1"/>
    <n v="183"/>
    <n v="13868"/>
    <n v="43"/>
    <n v="13"/>
    <n v="0.25"/>
  </r>
  <r>
    <x v="2"/>
    <x v="1"/>
    <s v="Tier 1"/>
    <n v="131"/>
    <n v="11095"/>
    <n v="26"/>
    <n v="12"/>
    <n v="0.44"/>
  </r>
  <r>
    <x v="2"/>
    <x v="2"/>
    <s v="Tier 1"/>
    <n v="114"/>
    <n v="9182"/>
    <n v="19"/>
    <n v="12"/>
    <n v="0.46"/>
  </r>
  <r>
    <x v="2"/>
    <x v="3"/>
    <s v="Tier 1"/>
    <n v="94"/>
    <n v="8374"/>
    <n v="13"/>
    <n v="11"/>
    <n v="0.33"/>
  </r>
  <r>
    <x v="2"/>
    <x v="0"/>
    <s v="New Tier 1"/>
    <n v="158"/>
    <n v="13173"/>
    <n v="32"/>
    <n v="12"/>
    <n v="0.48"/>
  </r>
  <r>
    <x v="2"/>
    <x v="1"/>
    <s v="New Tier 1"/>
    <n v="117"/>
    <n v="10103"/>
    <n v="21"/>
    <n v="12"/>
    <n v="0.48"/>
  </r>
  <r>
    <x v="2"/>
    <x v="2"/>
    <s v="New Tier 1"/>
    <n v="104"/>
    <n v="8858"/>
    <n v="16"/>
    <n v="12"/>
    <n v="0.22"/>
  </r>
  <r>
    <x v="2"/>
    <x v="3"/>
    <s v="New Tier 1"/>
    <n v="89"/>
    <n v="8016"/>
    <n v="12"/>
    <n v="11"/>
    <n v="0.41"/>
  </r>
  <r>
    <x v="2"/>
    <x v="0"/>
    <s v="Tier 2"/>
    <n v="105"/>
    <n v="12493"/>
    <n v="18"/>
    <n v="8"/>
    <n v="0.22"/>
  </r>
  <r>
    <x v="2"/>
    <x v="1"/>
    <s v="Tier 2"/>
    <n v="82"/>
    <n v="9210"/>
    <n v="13"/>
    <n v="9"/>
    <n v="0.24"/>
  </r>
  <r>
    <x v="2"/>
    <x v="2"/>
    <s v="Tier 2"/>
    <n v="68"/>
    <n v="7961"/>
    <n v="9"/>
    <n v="9"/>
    <n v="0.26"/>
  </r>
  <r>
    <x v="2"/>
    <x v="3"/>
    <s v="Tier 2"/>
    <n v="57"/>
    <n v="7614"/>
    <n v="7"/>
    <n v="7"/>
    <n v="0.41"/>
  </r>
  <r>
    <x v="3"/>
    <x v="0"/>
    <s v="Tier 1"/>
    <n v="175"/>
    <n v="13325"/>
    <n v="41"/>
    <n v="13"/>
    <n v="0.38"/>
  </r>
  <r>
    <x v="3"/>
    <x v="1"/>
    <s v="Tier 1"/>
    <n v="136"/>
    <n v="10726"/>
    <n v="26"/>
    <n v="13"/>
    <n v="0.5"/>
  </r>
  <r>
    <x v="3"/>
    <x v="2"/>
    <s v="Tier 1"/>
    <n v="111"/>
    <n v="9498"/>
    <n v="19"/>
    <n v="12"/>
    <n v="0.21"/>
  </r>
  <r>
    <x v="3"/>
    <x v="3"/>
    <s v="Tier 1"/>
    <n v="100"/>
    <n v="8762"/>
    <n v="15"/>
    <n v="11"/>
    <n v="0.48"/>
  </r>
  <r>
    <x v="3"/>
    <x v="0"/>
    <s v="New Tier 1"/>
    <n v="139"/>
    <n v="12917"/>
    <n v="27"/>
    <n v="11"/>
    <n v="0.5"/>
  </r>
  <r>
    <x v="3"/>
    <x v="1"/>
    <s v="New Tier 1"/>
    <n v="100"/>
    <n v="10292"/>
    <n v="19"/>
    <n v="10"/>
    <n v="0.45"/>
  </r>
  <r>
    <x v="3"/>
    <x v="2"/>
    <s v="New Tier 1"/>
    <n v="94"/>
    <n v="9135"/>
    <n v="15"/>
    <n v="10"/>
    <n v="0.39"/>
  </r>
  <r>
    <x v="3"/>
    <x v="3"/>
    <s v="New Tier 1"/>
    <n v="81"/>
    <n v="7938"/>
    <n v="10"/>
    <n v="10"/>
    <n v="0.36"/>
  </r>
  <r>
    <x v="3"/>
    <x v="0"/>
    <s v="Tier 2"/>
    <n v="115"/>
    <n v="12441"/>
    <n v="19"/>
    <n v="9"/>
    <n v="0.49"/>
  </r>
  <r>
    <x v="3"/>
    <x v="1"/>
    <s v="Tier 2"/>
    <n v="80"/>
    <n v="9190"/>
    <n v="12"/>
    <n v="9"/>
    <n v="0.26"/>
  </r>
  <r>
    <x v="3"/>
    <x v="2"/>
    <s v="Tier 2"/>
    <n v="67"/>
    <n v="7629"/>
    <n v="9"/>
    <n v="9"/>
    <n v="0.46"/>
  </r>
  <r>
    <x v="3"/>
    <x v="3"/>
    <s v="Tier 2"/>
    <n v="60"/>
    <n v="7199"/>
    <n v="7"/>
    <n v="8"/>
    <n v="0.46"/>
  </r>
  <r>
    <x v="4"/>
    <x v="0"/>
    <s v="Tier 1"/>
    <n v="185"/>
    <n v="13722"/>
    <n v="41"/>
    <n v="13"/>
    <n v="0.23"/>
  </r>
  <r>
    <x v="4"/>
    <x v="1"/>
    <s v="Tier 1"/>
    <n v="135"/>
    <n v="10775"/>
    <n v="25"/>
    <n v="13"/>
    <n v="0.37"/>
  </r>
  <r>
    <x v="4"/>
    <x v="2"/>
    <s v="Tier 1"/>
    <n v="121"/>
    <n v="9486"/>
    <n v="22"/>
    <n v="13"/>
    <n v="0.24"/>
  </r>
  <r>
    <x v="4"/>
    <x v="3"/>
    <s v="Tier 1"/>
    <n v="106"/>
    <n v="8787"/>
    <n v="15"/>
    <n v="12"/>
    <n v="0.23"/>
  </r>
  <r>
    <x v="4"/>
    <x v="0"/>
    <s v="New Tier 1"/>
    <n v="144"/>
    <n v="12856"/>
    <n v="31"/>
    <n v="11"/>
    <n v="0.35"/>
  </r>
  <r>
    <x v="4"/>
    <x v="1"/>
    <s v="New Tier 1"/>
    <n v="118"/>
    <n v="10300"/>
    <n v="21"/>
    <n v="11"/>
    <n v="0.25"/>
  </r>
  <r>
    <x v="4"/>
    <x v="2"/>
    <s v="New Tier 1"/>
    <n v="100"/>
    <n v="9055"/>
    <n v="16"/>
    <n v="11"/>
    <n v="0.28000000000000003"/>
  </r>
  <r>
    <x v="4"/>
    <x v="3"/>
    <s v="New Tier 1"/>
    <n v="77"/>
    <n v="8041"/>
    <n v="10"/>
    <n v="10"/>
    <n v="0.34"/>
  </r>
  <r>
    <x v="4"/>
    <x v="0"/>
    <s v="Tier 2"/>
    <n v="101"/>
    <n v="12217"/>
    <n v="17"/>
    <n v="8"/>
    <n v="0.37"/>
  </r>
  <r>
    <x v="4"/>
    <x v="1"/>
    <s v="Tier 2"/>
    <n v="75"/>
    <n v="9754"/>
    <n v="11"/>
    <n v="8"/>
    <n v="0.3"/>
  </r>
  <r>
    <x v="4"/>
    <x v="2"/>
    <s v="Tier 2"/>
    <n v="69"/>
    <n v="8080"/>
    <n v="9"/>
    <n v="9"/>
    <n v="0.48"/>
  </r>
  <r>
    <x v="4"/>
    <x v="3"/>
    <s v="Tier 2"/>
    <n v="64"/>
    <n v="7772"/>
    <n v="7"/>
    <n v="8"/>
    <n v="0.36"/>
  </r>
  <r>
    <x v="5"/>
    <x v="0"/>
    <s v="Tier 1"/>
    <n v="184"/>
    <n v="14025"/>
    <n v="39"/>
    <n v="13"/>
    <n v="0.41"/>
  </r>
  <r>
    <x v="5"/>
    <x v="1"/>
    <s v="Tier 1"/>
    <n v="131"/>
    <n v="10622"/>
    <n v="26"/>
    <n v="12"/>
    <n v="0.43"/>
  </r>
  <r>
    <x v="5"/>
    <x v="2"/>
    <s v="Tier 1"/>
    <n v="114"/>
    <n v="9131"/>
    <n v="21"/>
    <n v="12"/>
    <n v="0.36"/>
  </r>
  <r>
    <x v="5"/>
    <x v="3"/>
    <s v="Tier 1"/>
    <n v="101"/>
    <n v="8592"/>
    <n v="15"/>
    <n v="12"/>
    <n v="0.22"/>
  </r>
  <r>
    <x v="5"/>
    <x v="0"/>
    <s v="New Tier 1"/>
    <n v="140"/>
    <n v="13702"/>
    <n v="27"/>
    <n v="10"/>
    <n v="0.4"/>
  </r>
  <r>
    <x v="5"/>
    <x v="1"/>
    <s v="New Tier 1"/>
    <n v="116"/>
    <n v="10434"/>
    <n v="21"/>
    <n v="11"/>
    <n v="0.35"/>
  </r>
  <r>
    <x v="5"/>
    <x v="2"/>
    <s v="New Tier 1"/>
    <n v="103"/>
    <n v="8721"/>
    <n v="16"/>
    <n v="12"/>
    <n v="0.38"/>
  </r>
  <r>
    <x v="5"/>
    <x v="3"/>
    <s v="New Tier 1"/>
    <n v="90"/>
    <n v="8109"/>
    <n v="12"/>
    <n v="11"/>
    <n v="0.26"/>
  </r>
  <r>
    <x v="5"/>
    <x v="0"/>
    <s v="Tier 2"/>
    <n v="101"/>
    <n v="11890"/>
    <n v="17"/>
    <n v="8"/>
    <n v="0.48"/>
  </r>
  <r>
    <x v="5"/>
    <x v="1"/>
    <s v="Tier 2"/>
    <n v="82"/>
    <n v="9460"/>
    <n v="12"/>
    <n v="9"/>
    <n v="0.21"/>
  </r>
  <r>
    <x v="5"/>
    <x v="2"/>
    <s v="Tier 2"/>
    <n v="71"/>
    <n v="7722"/>
    <n v="10"/>
    <n v="9"/>
    <n v="0.21"/>
  </r>
  <r>
    <x v="5"/>
    <x v="3"/>
    <s v="Tier 2"/>
    <n v="59"/>
    <n v="7456"/>
    <n v="7"/>
    <n v="8"/>
    <n v="0.27"/>
  </r>
  <r>
    <x v="6"/>
    <x v="0"/>
    <s v="Tier 1"/>
    <n v="172"/>
    <n v="14185"/>
    <n v="37"/>
    <n v="12"/>
    <n v="0.36"/>
  </r>
  <r>
    <x v="6"/>
    <x v="1"/>
    <s v="Tier 1"/>
    <n v="126"/>
    <n v="10953"/>
    <n v="25"/>
    <n v="12"/>
    <n v="0.49"/>
  </r>
  <r>
    <x v="6"/>
    <x v="2"/>
    <s v="Tier 1"/>
    <n v="105"/>
    <n v="8963"/>
    <n v="18"/>
    <n v="12"/>
    <n v="0.42"/>
  </r>
  <r>
    <x v="6"/>
    <x v="3"/>
    <s v="Tier 1"/>
    <n v="101"/>
    <n v="8849"/>
    <n v="15"/>
    <n v="11"/>
    <n v="0.25"/>
  </r>
  <r>
    <x v="6"/>
    <x v="0"/>
    <s v="New Tier 1"/>
    <n v="137"/>
    <n v="13538"/>
    <n v="28"/>
    <n v="10"/>
    <n v="0.48"/>
  </r>
  <r>
    <x v="6"/>
    <x v="1"/>
    <s v="New Tier 1"/>
    <n v="117"/>
    <n v="10777"/>
    <n v="23"/>
    <n v="11"/>
    <n v="0.21"/>
  </r>
  <r>
    <x v="6"/>
    <x v="2"/>
    <s v="New Tier 1"/>
    <n v="97"/>
    <n v="8488"/>
    <n v="16"/>
    <n v="11"/>
    <n v="0.28999999999999998"/>
  </r>
  <r>
    <x v="6"/>
    <x v="3"/>
    <s v="New Tier 1"/>
    <n v="88"/>
    <n v="8460"/>
    <n v="13"/>
    <n v="10"/>
    <n v="0.3"/>
  </r>
  <r>
    <x v="6"/>
    <x v="0"/>
    <s v="Tier 2"/>
    <n v="107"/>
    <n v="12172"/>
    <n v="20"/>
    <n v="9"/>
    <n v="0.28999999999999998"/>
  </r>
  <r>
    <x v="6"/>
    <x v="1"/>
    <s v="Tier 2"/>
    <n v="86"/>
    <n v="9908"/>
    <n v="14"/>
    <n v="9"/>
    <n v="0.24"/>
  </r>
  <r>
    <x v="6"/>
    <x v="2"/>
    <s v="Tier 2"/>
    <n v="71"/>
    <n v="7665"/>
    <n v="10"/>
    <n v="9"/>
    <n v="0.23"/>
  </r>
  <r>
    <x v="6"/>
    <x v="3"/>
    <s v="Tier 2"/>
    <n v="62"/>
    <n v="7559"/>
    <n v="7"/>
    <n v="8"/>
    <n v="0.28999999999999998"/>
  </r>
  <r>
    <x v="7"/>
    <x v="0"/>
    <s v="Tier 1"/>
    <n v="176"/>
    <n v="14231"/>
    <n v="37"/>
    <n v="12"/>
    <n v="0.46"/>
  </r>
  <r>
    <x v="7"/>
    <x v="1"/>
    <s v="Tier 1"/>
    <n v="137"/>
    <n v="10558"/>
    <n v="26"/>
    <n v="13"/>
    <n v="0.39"/>
  </r>
  <r>
    <x v="7"/>
    <x v="2"/>
    <s v="Tier 1"/>
    <n v="107"/>
    <n v="9384"/>
    <n v="20"/>
    <n v="11"/>
    <n v="0.39"/>
  </r>
  <r>
    <x v="7"/>
    <x v="3"/>
    <s v="Tier 1"/>
    <n v="96"/>
    <n v="9075"/>
    <n v="14"/>
    <n v="11"/>
    <n v="0.35"/>
  </r>
  <r>
    <x v="7"/>
    <x v="0"/>
    <s v="New Tier 1"/>
    <n v="149"/>
    <n v="13066"/>
    <n v="29"/>
    <n v="11"/>
    <n v="0.4"/>
  </r>
  <r>
    <x v="7"/>
    <x v="1"/>
    <s v="New Tier 1"/>
    <n v="116"/>
    <n v="10365"/>
    <n v="21"/>
    <n v="11"/>
    <n v="0.41"/>
  </r>
  <r>
    <x v="7"/>
    <x v="2"/>
    <s v="New Tier 1"/>
    <n v="104"/>
    <n v="9161"/>
    <n v="16"/>
    <n v="11"/>
    <n v="0.3"/>
  </r>
  <r>
    <x v="7"/>
    <x v="3"/>
    <s v="New Tier 1"/>
    <n v="79"/>
    <n v="8566"/>
    <n v="11"/>
    <n v="9"/>
    <n v="0.36"/>
  </r>
  <r>
    <x v="7"/>
    <x v="0"/>
    <s v="Tier 2"/>
    <n v="106"/>
    <n v="12398"/>
    <n v="19"/>
    <n v="9"/>
    <n v="0.26"/>
  </r>
  <r>
    <x v="7"/>
    <x v="1"/>
    <s v="Tier 2"/>
    <n v="75"/>
    <n v="9344"/>
    <n v="12"/>
    <n v="8"/>
    <n v="0.4"/>
  </r>
  <r>
    <x v="7"/>
    <x v="2"/>
    <s v="Tier 2"/>
    <n v="70"/>
    <n v="8023"/>
    <n v="10"/>
    <n v="9"/>
    <n v="0.28999999999999998"/>
  </r>
  <r>
    <x v="7"/>
    <x v="3"/>
    <s v="Tier 2"/>
    <n v="59"/>
    <n v="7767"/>
    <n v="7"/>
    <n v="8"/>
    <n v="0.28999999999999998"/>
  </r>
  <r>
    <x v="8"/>
    <x v="0"/>
    <s v="Tier 1"/>
    <n v="185"/>
    <n v="13681"/>
    <n v="44"/>
    <n v="14"/>
    <n v="0.5"/>
  </r>
  <r>
    <x v="8"/>
    <x v="1"/>
    <s v="Tier 1"/>
    <n v="126"/>
    <n v="11370"/>
    <n v="25"/>
    <n v="11"/>
    <n v="0.32"/>
  </r>
  <r>
    <x v="8"/>
    <x v="2"/>
    <s v="Tier 1"/>
    <n v="116"/>
    <n v="9619"/>
    <n v="21"/>
    <n v="12"/>
    <n v="0.42"/>
  </r>
  <r>
    <x v="8"/>
    <x v="3"/>
    <s v="Tier 1"/>
    <n v="96"/>
    <n v="8510"/>
    <n v="13"/>
    <n v="11"/>
    <n v="0.3"/>
  </r>
  <r>
    <x v="8"/>
    <x v="0"/>
    <s v="New Tier 1"/>
    <n v="149"/>
    <n v="12719"/>
    <n v="29"/>
    <n v="12"/>
    <n v="0.28000000000000003"/>
  </r>
  <r>
    <x v="8"/>
    <x v="1"/>
    <s v="New Tier 1"/>
    <n v="104"/>
    <n v="10668"/>
    <n v="19"/>
    <n v="10"/>
    <n v="0.43"/>
  </r>
  <r>
    <x v="8"/>
    <x v="2"/>
    <s v="New Tier 1"/>
    <n v="95"/>
    <n v="8873"/>
    <n v="14"/>
    <n v="11"/>
    <n v="0.42"/>
  </r>
  <r>
    <x v="8"/>
    <x v="3"/>
    <s v="New Tier 1"/>
    <n v="83"/>
    <n v="8555"/>
    <n v="12"/>
    <n v="10"/>
    <n v="0.36"/>
  </r>
  <r>
    <x v="8"/>
    <x v="0"/>
    <s v="Tier 2"/>
    <n v="103"/>
    <n v="11405"/>
    <n v="17"/>
    <n v="9"/>
    <n v="0.48"/>
  </r>
  <r>
    <x v="8"/>
    <x v="1"/>
    <s v="Tier 2"/>
    <n v="73"/>
    <n v="9592"/>
    <n v="12"/>
    <n v="8"/>
    <n v="0.36"/>
  </r>
  <r>
    <x v="8"/>
    <x v="2"/>
    <s v="Tier 2"/>
    <n v="68"/>
    <n v="7864"/>
    <n v="9"/>
    <n v="9"/>
    <n v="0.28000000000000003"/>
  </r>
  <r>
    <x v="8"/>
    <x v="3"/>
    <s v="Tier 2"/>
    <n v="62"/>
    <n v="7703"/>
    <n v="7"/>
    <n v="8"/>
    <n v="0.41"/>
  </r>
  <r>
    <x v="9"/>
    <x v="0"/>
    <s v="Tier 1"/>
    <n v="162"/>
    <n v="13845"/>
    <n v="34"/>
    <n v="12"/>
    <n v="0.24"/>
  </r>
  <r>
    <x v="9"/>
    <x v="1"/>
    <s v="Tier 1"/>
    <n v="123"/>
    <n v="10966"/>
    <n v="24"/>
    <n v="11"/>
    <n v="0.46"/>
  </r>
  <r>
    <x v="9"/>
    <x v="2"/>
    <s v="Tier 1"/>
    <n v="125"/>
    <n v="9406"/>
    <n v="23"/>
    <n v="13"/>
    <n v="0.28999999999999998"/>
  </r>
  <r>
    <x v="9"/>
    <x v="3"/>
    <s v="Tier 1"/>
    <n v="100"/>
    <n v="8624"/>
    <n v="16"/>
    <n v="12"/>
    <n v="0.42"/>
  </r>
  <r>
    <x v="9"/>
    <x v="0"/>
    <s v="New Tier 1"/>
    <n v="158"/>
    <n v="13067"/>
    <n v="31"/>
    <n v="12"/>
    <n v="0.34"/>
  </r>
  <r>
    <x v="9"/>
    <x v="1"/>
    <s v="New Tier 1"/>
    <n v="106"/>
    <n v="10155"/>
    <n v="20"/>
    <n v="10"/>
    <n v="0.35"/>
  </r>
  <r>
    <x v="9"/>
    <x v="2"/>
    <s v="New Tier 1"/>
    <n v="95"/>
    <n v="8977"/>
    <n v="15"/>
    <n v="11"/>
    <n v="0.44"/>
  </r>
  <r>
    <x v="9"/>
    <x v="3"/>
    <s v="New Tier 1"/>
    <n v="77"/>
    <n v="8412"/>
    <n v="11"/>
    <n v="9"/>
    <n v="0.31"/>
  </r>
  <r>
    <x v="9"/>
    <x v="0"/>
    <s v="Tier 2"/>
    <n v="103"/>
    <n v="11636"/>
    <n v="17"/>
    <n v="9"/>
    <n v="0.4"/>
  </r>
  <r>
    <x v="9"/>
    <x v="1"/>
    <s v="Tier 2"/>
    <n v="75"/>
    <n v="9199"/>
    <n v="12"/>
    <n v="8"/>
    <n v="0.38"/>
  </r>
  <r>
    <x v="9"/>
    <x v="2"/>
    <s v="Tier 2"/>
    <n v="71"/>
    <n v="7653"/>
    <n v="9"/>
    <n v="9"/>
    <n v="0.24"/>
  </r>
  <r>
    <x v="9"/>
    <x v="3"/>
    <s v="Tier 2"/>
    <n v="57"/>
    <n v="7729"/>
    <n v="7"/>
    <n v="7"/>
    <n v="0.43"/>
  </r>
  <r>
    <x v="10"/>
    <x v="0"/>
    <s v="Tier 1"/>
    <n v="180"/>
    <n v="14518"/>
    <n v="38"/>
    <n v="12"/>
    <n v="0.24"/>
  </r>
  <r>
    <x v="10"/>
    <x v="1"/>
    <s v="Tier 1"/>
    <n v="137"/>
    <n v="10797"/>
    <n v="26"/>
    <n v="13"/>
    <n v="0.47"/>
  </r>
  <r>
    <x v="10"/>
    <x v="2"/>
    <s v="Tier 1"/>
    <n v="125"/>
    <n v="9349"/>
    <n v="21"/>
    <n v="13"/>
    <n v="0.49"/>
  </r>
  <r>
    <x v="10"/>
    <x v="3"/>
    <s v="Tier 1"/>
    <n v="105"/>
    <n v="8330"/>
    <n v="16"/>
    <n v="13"/>
    <n v="0.36"/>
  </r>
  <r>
    <x v="10"/>
    <x v="0"/>
    <s v="New Tier 1"/>
    <n v="138"/>
    <n v="12704"/>
    <n v="27"/>
    <n v="11"/>
    <n v="0.46"/>
  </r>
  <r>
    <x v="10"/>
    <x v="1"/>
    <s v="New Tier 1"/>
    <n v="117"/>
    <n v="10230"/>
    <n v="20"/>
    <n v="11"/>
    <n v="0.36"/>
  </r>
  <r>
    <x v="10"/>
    <x v="2"/>
    <s v="New Tier 1"/>
    <n v="95"/>
    <n v="9138"/>
    <n v="15"/>
    <n v="10"/>
    <n v="0.22"/>
  </r>
  <r>
    <x v="10"/>
    <x v="3"/>
    <s v="New Tier 1"/>
    <n v="80"/>
    <n v="8634"/>
    <n v="10"/>
    <n v="9"/>
    <n v="0.23"/>
  </r>
  <r>
    <x v="10"/>
    <x v="0"/>
    <s v="Tier 2"/>
    <n v="107"/>
    <n v="12369"/>
    <n v="20"/>
    <n v="9"/>
    <n v="0.26"/>
  </r>
  <r>
    <x v="10"/>
    <x v="1"/>
    <s v="Tier 2"/>
    <n v="82"/>
    <n v="9068"/>
    <n v="12"/>
    <n v="9"/>
    <n v="0.37"/>
  </r>
  <r>
    <x v="10"/>
    <x v="2"/>
    <s v="Tier 2"/>
    <n v="67"/>
    <n v="8196"/>
    <n v="10"/>
    <n v="8"/>
    <n v="0.23"/>
  </r>
  <r>
    <x v="10"/>
    <x v="3"/>
    <s v="Tier 2"/>
    <n v="65"/>
    <n v="7171"/>
    <n v="7"/>
    <n v="9"/>
    <n v="0.35"/>
  </r>
  <r>
    <x v="11"/>
    <x v="0"/>
    <s v="Tier 1"/>
    <n v="160"/>
    <n v="14102"/>
    <n v="37"/>
    <n v="11"/>
    <n v="0.35"/>
  </r>
  <r>
    <x v="11"/>
    <x v="1"/>
    <s v="Tier 1"/>
    <n v="136"/>
    <n v="10517"/>
    <n v="28"/>
    <n v="13"/>
    <n v="0.32"/>
  </r>
  <r>
    <x v="11"/>
    <x v="2"/>
    <s v="Tier 1"/>
    <n v="114"/>
    <n v="9111"/>
    <n v="19"/>
    <n v="13"/>
    <n v="0.43"/>
  </r>
  <r>
    <x v="11"/>
    <x v="3"/>
    <s v="Tier 1"/>
    <n v="94"/>
    <n v="9045"/>
    <n v="14"/>
    <n v="10"/>
    <n v="0.26"/>
  </r>
  <r>
    <x v="11"/>
    <x v="0"/>
    <s v="New Tier 1"/>
    <n v="141"/>
    <n v="13558"/>
    <n v="30"/>
    <n v="10"/>
    <n v="0.32"/>
  </r>
  <r>
    <x v="11"/>
    <x v="1"/>
    <s v="New Tier 1"/>
    <n v="117"/>
    <n v="10279"/>
    <n v="21"/>
    <n v="11"/>
    <n v="0.21"/>
  </r>
  <r>
    <x v="11"/>
    <x v="2"/>
    <s v="New Tier 1"/>
    <n v="103"/>
    <n v="8837"/>
    <n v="17"/>
    <n v="12"/>
    <n v="0.31"/>
  </r>
  <r>
    <x v="11"/>
    <x v="3"/>
    <s v="New Tier 1"/>
    <n v="79"/>
    <n v="7923"/>
    <n v="11"/>
    <n v="10"/>
    <n v="0.31"/>
  </r>
  <r>
    <x v="11"/>
    <x v="0"/>
    <s v="Tier 2"/>
    <n v="103"/>
    <n v="12343"/>
    <n v="17"/>
    <n v="8"/>
    <n v="0.46"/>
  </r>
  <r>
    <x v="11"/>
    <x v="1"/>
    <s v="Tier 2"/>
    <n v="85"/>
    <n v="9806"/>
    <n v="13"/>
    <n v="9"/>
    <n v="0.45"/>
  </r>
  <r>
    <x v="11"/>
    <x v="2"/>
    <s v="Tier 2"/>
    <n v="77"/>
    <n v="7937"/>
    <n v="10"/>
    <n v="10"/>
    <n v="0.45"/>
  </r>
  <r>
    <x v="11"/>
    <x v="3"/>
    <s v="Tier 2"/>
    <n v="61"/>
    <n v="7245"/>
    <n v="7"/>
    <n v="8"/>
    <n v="0.44"/>
  </r>
  <r>
    <x v="12"/>
    <x v="0"/>
    <s v="Tier 1"/>
    <n v="182"/>
    <n v="13626"/>
    <n v="40"/>
    <n v="13"/>
    <n v="0.36"/>
  </r>
  <r>
    <x v="12"/>
    <x v="1"/>
    <s v="Tier 1"/>
    <n v="134"/>
    <n v="11470"/>
    <n v="27"/>
    <n v="12"/>
    <n v="0.32"/>
  </r>
  <r>
    <x v="12"/>
    <x v="2"/>
    <s v="Tier 1"/>
    <n v="106"/>
    <n v="9433"/>
    <n v="19"/>
    <n v="11"/>
    <n v="0.33"/>
  </r>
  <r>
    <x v="12"/>
    <x v="3"/>
    <s v="Tier 1"/>
    <n v="97"/>
    <n v="8603"/>
    <n v="15"/>
    <n v="11"/>
    <n v="0.32"/>
  </r>
  <r>
    <x v="12"/>
    <x v="0"/>
    <s v="New Tier 1"/>
    <n v="141"/>
    <n v="12986"/>
    <n v="29"/>
    <n v="11"/>
    <n v="0.22"/>
  </r>
  <r>
    <x v="12"/>
    <x v="1"/>
    <s v="New Tier 1"/>
    <n v="118"/>
    <n v="10298"/>
    <n v="22"/>
    <n v="11"/>
    <n v="0.49"/>
  </r>
  <r>
    <x v="12"/>
    <x v="2"/>
    <s v="New Tier 1"/>
    <n v="104"/>
    <n v="8837"/>
    <n v="18"/>
    <n v="12"/>
    <n v="0.42"/>
  </r>
  <r>
    <x v="12"/>
    <x v="3"/>
    <s v="New Tier 1"/>
    <n v="79"/>
    <n v="8552"/>
    <n v="10"/>
    <n v="9"/>
    <n v="0.25"/>
  </r>
  <r>
    <x v="12"/>
    <x v="0"/>
    <s v="Tier 2"/>
    <n v="108"/>
    <n v="11735"/>
    <n v="19"/>
    <n v="9"/>
    <n v="0.3"/>
  </r>
  <r>
    <x v="12"/>
    <x v="1"/>
    <s v="Tier 2"/>
    <n v="81"/>
    <n v="9759"/>
    <n v="13"/>
    <n v="8"/>
    <n v="0.48"/>
  </r>
  <r>
    <x v="12"/>
    <x v="2"/>
    <s v="Tier 2"/>
    <n v="77"/>
    <n v="7642"/>
    <n v="11"/>
    <n v="10"/>
    <n v="0.37"/>
  </r>
  <r>
    <x v="12"/>
    <x v="3"/>
    <s v="Tier 2"/>
    <n v="67"/>
    <n v="7460"/>
    <n v="8"/>
    <n v="9"/>
    <n v="0.26"/>
  </r>
  <r>
    <x v="13"/>
    <x v="0"/>
    <s v="Tier 1"/>
    <n v="184"/>
    <n v="13966"/>
    <n v="43"/>
    <n v="13"/>
    <n v="0.47"/>
  </r>
  <r>
    <x v="13"/>
    <x v="1"/>
    <s v="Tier 1"/>
    <n v="126"/>
    <n v="10879"/>
    <n v="25"/>
    <n v="12"/>
    <n v="0.45"/>
  </r>
  <r>
    <x v="13"/>
    <x v="2"/>
    <s v="Tier 1"/>
    <n v="109"/>
    <n v="8969"/>
    <n v="19"/>
    <n v="12"/>
    <n v="0.21"/>
  </r>
  <r>
    <x v="13"/>
    <x v="3"/>
    <s v="Tier 1"/>
    <n v="96"/>
    <n v="8770"/>
    <n v="14"/>
    <n v="11"/>
    <n v="0.39"/>
  </r>
  <r>
    <x v="13"/>
    <x v="0"/>
    <s v="New Tier 1"/>
    <n v="153"/>
    <n v="13175"/>
    <n v="33"/>
    <n v="12"/>
    <n v="0.42"/>
  </r>
  <r>
    <x v="13"/>
    <x v="1"/>
    <s v="New Tier 1"/>
    <n v="110"/>
    <n v="10801"/>
    <n v="19"/>
    <n v="10"/>
    <n v="0.41"/>
  </r>
  <r>
    <x v="13"/>
    <x v="2"/>
    <s v="New Tier 1"/>
    <n v="101"/>
    <n v="8486"/>
    <n v="16"/>
    <n v="12"/>
    <n v="0.47"/>
  </r>
  <r>
    <x v="13"/>
    <x v="3"/>
    <s v="New Tier 1"/>
    <n v="84"/>
    <n v="8273"/>
    <n v="11"/>
    <n v="10"/>
    <n v="0.45"/>
  </r>
  <r>
    <x v="13"/>
    <x v="0"/>
    <s v="Tier 2"/>
    <n v="113"/>
    <n v="12098"/>
    <n v="20"/>
    <n v="9"/>
    <n v="0.45"/>
  </r>
  <r>
    <x v="13"/>
    <x v="1"/>
    <s v="Tier 2"/>
    <n v="73"/>
    <n v="9234"/>
    <n v="11"/>
    <n v="8"/>
    <n v="0.5"/>
  </r>
  <r>
    <x v="13"/>
    <x v="2"/>
    <s v="Tier 2"/>
    <n v="64"/>
    <n v="7848"/>
    <n v="8"/>
    <n v="8"/>
    <n v="0.24"/>
  </r>
  <r>
    <x v="13"/>
    <x v="3"/>
    <s v="Tier 2"/>
    <n v="67"/>
    <n v="7643"/>
    <n v="7"/>
    <n v="9"/>
    <n v="0.34"/>
  </r>
  <r>
    <x v="14"/>
    <x v="0"/>
    <s v="Tier 1"/>
    <n v="167"/>
    <n v="13372"/>
    <n v="37"/>
    <n v="12"/>
    <n v="0.47"/>
  </r>
  <r>
    <x v="14"/>
    <x v="1"/>
    <s v="Tier 1"/>
    <n v="122"/>
    <n v="10645"/>
    <n v="24"/>
    <n v="11"/>
    <n v="0.45"/>
  </r>
  <r>
    <x v="14"/>
    <x v="2"/>
    <s v="Tier 1"/>
    <n v="105"/>
    <n v="9437"/>
    <n v="17"/>
    <n v="11"/>
    <n v="0.34"/>
  </r>
  <r>
    <x v="14"/>
    <x v="3"/>
    <s v="Tier 1"/>
    <n v="96"/>
    <n v="8629"/>
    <n v="13"/>
    <n v="11"/>
    <n v="0.26"/>
  </r>
  <r>
    <x v="14"/>
    <x v="0"/>
    <s v="New Tier 1"/>
    <n v="148"/>
    <n v="13145"/>
    <n v="28"/>
    <n v="11"/>
    <n v="0.22"/>
  </r>
  <r>
    <x v="14"/>
    <x v="1"/>
    <s v="New Tier 1"/>
    <n v="103"/>
    <n v="9985"/>
    <n v="18"/>
    <n v="10"/>
    <n v="0.43"/>
  </r>
  <r>
    <x v="14"/>
    <x v="2"/>
    <s v="New Tier 1"/>
    <n v="94"/>
    <n v="8781"/>
    <n v="15"/>
    <n v="11"/>
    <n v="0.5"/>
  </r>
  <r>
    <x v="14"/>
    <x v="3"/>
    <s v="New Tier 1"/>
    <n v="85"/>
    <n v="7942"/>
    <n v="12"/>
    <n v="11"/>
    <n v="0.4"/>
  </r>
  <r>
    <x v="14"/>
    <x v="0"/>
    <s v="Tier 2"/>
    <n v="101"/>
    <n v="12196"/>
    <n v="18"/>
    <n v="8"/>
    <n v="0.41"/>
  </r>
  <r>
    <x v="14"/>
    <x v="1"/>
    <s v="Tier 2"/>
    <n v="86"/>
    <n v="9319"/>
    <n v="13"/>
    <n v="9"/>
    <n v="0.5"/>
  </r>
  <r>
    <x v="14"/>
    <x v="2"/>
    <s v="Tier 2"/>
    <n v="70"/>
    <n v="8275"/>
    <n v="10"/>
    <n v="8"/>
    <n v="0.28000000000000003"/>
  </r>
  <r>
    <x v="14"/>
    <x v="3"/>
    <s v="Tier 2"/>
    <n v="66"/>
    <n v="7689"/>
    <n v="8"/>
    <n v="9"/>
    <n v="0.24"/>
  </r>
  <r>
    <x v="15"/>
    <x v="0"/>
    <s v="Tier 1"/>
    <n v="157"/>
    <n v="14423"/>
    <n v="33"/>
    <n v="11"/>
    <n v="0.45"/>
  </r>
  <r>
    <x v="15"/>
    <x v="1"/>
    <s v="Tier 1"/>
    <n v="139"/>
    <n v="11245"/>
    <n v="26"/>
    <n v="12"/>
    <n v="0.39"/>
  </r>
  <r>
    <x v="15"/>
    <x v="2"/>
    <s v="Tier 1"/>
    <n v="124"/>
    <n v="9622"/>
    <n v="23"/>
    <n v="13"/>
    <n v="0.33"/>
  </r>
  <r>
    <x v="15"/>
    <x v="3"/>
    <s v="Tier 1"/>
    <n v="94"/>
    <n v="8613"/>
    <n v="13"/>
    <n v="11"/>
    <n v="0.38"/>
  </r>
  <r>
    <x v="15"/>
    <x v="0"/>
    <s v="New Tier 1"/>
    <n v="152"/>
    <n v="13021"/>
    <n v="29"/>
    <n v="12"/>
    <n v="0.35"/>
  </r>
  <r>
    <x v="15"/>
    <x v="1"/>
    <s v="New Tier 1"/>
    <n v="117"/>
    <n v="10667"/>
    <n v="22"/>
    <n v="11"/>
    <n v="0.22"/>
  </r>
  <r>
    <x v="15"/>
    <x v="2"/>
    <s v="New Tier 1"/>
    <n v="104"/>
    <n v="8742"/>
    <n v="16"/>
    <n v="12"/>
    <n v="0.48"/>
  </r>
  <r>
    <x v="15"/>
    <x v="3"/>
    <s v="New Tier 1"/>
    <n v="86"/>
    <n v="8116"/>
    <n v="12"/>
    <n v="11"/>
    <n v="0.32"/>
  </r>
  <r>
    <x v="15"/>
    <x v="0"/>
    <s v="Tier 2"/>
    <n v="100"/>
    <n v="11868"/>
    <n v="18"/>
    <n v="8"/>
    <n v="0.4"/>
  </r>
  <r>
    <x v="15"/>
    <x v="1"/>
    <s v="Tier 2"/>
    <n v="76"/>
    <n v="9182"/>
    <n v="12"/>
    <n v="8"/>
    <n v="0.2"/>
  </r>
  <r>
    <x v="15"/>
    <x v="2"/>
    <s v="Tier 2"/>
    <n v="67"/>
    <n v="8133"/>
    <n v="9"/>
    <n v="8"/>
    <n v="0.44"/>
  </r>
  <r>
    <x v="15"/>
    <x v="3"/>
    <s v="Tier 2"/>
    <n v="61"/>
    <n v="7229"/>
    <n v="7"/>
    <n v="8"/>
    <n v="0.34"/>
  </r>
  <r>
    <x v="16"/>
    <x v="0"/>
    <s v="Tier 1"/>
    <n v="166"/>
    <n v="13701"/>
    <n v="38"/>
    <n v="12"/>
    <n v="0.35"/>
  </r>
  <r>
    <x v="16"/>
    <x v="1"/>
    <s v="Tier 1"/>
    <n v="133"/>
    <n v="10906"/>
    <n v="28"/>
    <n v="12"/>
    <n v="0.46"/>
  </r>
  <r>
    <x v="16"/>
    <x v="2"/>
    <s v="Tier 1"/>
    <n v="119"/>
    <n v="9663"/>
    <n v="21"/>
    <n v="12"/>
    <n v="0.24"/>
  </r>
  <r>
    <x v="16"/>
    <x v="3"/>
    <s v="Tier 1"/>
    <n v="94"/>
    <n v="8280"/>
    <n v="14"/>
    <n v="11"/>
    <n v="0.39"/>
  </r>
  <r>
    <x v="16"/>
    <x v="0"/>
    <s v="New Tier 1"/>
    <n v="145"/>
    <n v="13689"/>
    <n v="30"/>
    <n v="11"/>
    <n v="0.33"/>
  </r>
  <r>
    <x v="16"/>
    <x v="1"/>
    <s v="New Tier 1"/>
    <n v="108"/>
    <n v="10626"/>
    <n v="21"/>
    <n v="10"/>
    <n v="0.48"/>
  </r>
  <r>
    <x v="16"/>
    <x v="2"/>
    <s v="New Tier 1"/>
    <n v="105"/>
    <n v="8608"/>
    <n v="17"/>
    <n v="12"/>
    <n v="0.23"/>
  </r>
  <r>
    <x v="16"/>
    <x v="3"/>
    <s v="New Tier 1"/>
    <n v="84"/>
    <n v="7929"/>
    <n v="12"/>
    <n v="11"/>
    <n v="0.47"/>
  </r>
  <r>
    <x v="16"/>
    <x v="0"/>
    <s v="Tier 2"/>
    <n v="110"/>
    <n v="11439"/>
    <n v="20"/>
    <n v="10"/>
    <n v="0.35"/>
  </r>
  <r>
    <x v="16"/>
    <x v="1"/>
    <s v="Tier 2"/>
    <n v="81"/>
    <n v="9043"/>
    <n v="13"/>
    <n v="9"/>
    <n v="0.4"/>
  </r>
  <r>
    <x v="16"/>
    <x v="2"/>
    <s v="Tier 2"/>
    <n v="71"/>
    <n v="7774"/>
    <n v="9"/>
    <n v="9"/>
    <n v="0.38"/>
  </r>
  <r>
    <x v="16"/>
    <x v="3"/>
    <s v="Tier 2"/>
    <n v="58"/>
    <n v="7357"/>
    <n v="7"/>
    <n v="8"/>
    <n v="0.37"/>
  </r>
  <r>
    <x v="17"/>
    <x v="0"/>
    <s v="Tier 1"/>
    <n v="162"/>
    <n v="13384"/>
    <n v="38"/>
    <n v="12"/>
    <n v="0.48"/>
  </r>
  <r>
    <x v="17"/>
    <x v="1"/>
    <s v="Tier 1"/>
    <n v="122"/>
    <n v="11363"/>
    <n v="26"/>
    <n v="11"/>
    <n v="0.37"/>
  </r>
  <r>
    <x v="17"/>
    <x v="2"/>
    <s v="Tier 1"/>
    <n v="122"/>
    <n v="9040"/>
    <n v="20"/>
    <n v="13"/>
    <n v="0.39"/>
  </r>
  <r>
    <x v="17"/>
    <x v="3"/>
    <s v="Tier 1"/>
    <n v="91"/>
    <n v="9008"/>
    <n v="14"/>
    <n v="10"/>
    <n v="0.25"/>
  </r>
  <r>
    <x v="17"/>
    <x v="0"/>
    <s v="New Tier 1"/>
    <n v="139"/>
    <n v="12696"/>
    <n v="27"/>
    <n v="11"/>
    <n v="0.38"/>
  </r>
  <r>
    <x v="17"/>
    <x v="1"/>
    <s v="New Tier 1"/>
    <n v="117"/>
    <n v="10438"/>
    <n v="22"/>
    <n v="11"/>
    <n v="0.26"/>
  </r>
  <r>
    <x v="17"/>
    <x v="2"/>
    <s v="New Tier 1"/>
    <n v="97"/>
    <n v="8772"/>
    <n v="16"/>
    <n v="11"/>
    <n v="0.37"/>
  </r>
  <r>
    <x v="17"/>
    <x v="3"/>
    <s v="New Tier 1"/>
    <n v="87"/>
    <n v="8277"/>
    <n v="11"/>
    <n v="11"/>
    <n v="0.22"/>
  </r>
  <r>
    <x v="17"/>
    <x v="0"/>
    <s v="Tier 2"/>
    <n v="106"/>
    <n v="12167"/>
    <n v="19"/>
    <n v="9"/>
    <n v="0.39"/>
  </r>
  <r>
    <x v="17"/>
    <x v="1"/>
    <s v="Tier 2"/>
    <n v="75"/>
    <n v="9323"/>
    <n v="12"/>
    <n v="8"/>
    <n v="0.37"/>
  </r>
  <r>
    <x v="17"/>
    <x v="2"/>
    <s v="Tier 2"/>
    <n v="69"/>
    <n v="7632"/>
    <n v="9"/>
    <n v="9"/>
    <n v="0.4"/>
  </r>
  <r>
    <x v="17"/>
    <x v="3"/>
    <s v="Tier 2"/>
    <n v="57"/>
    <n v="7663"/>
    <n v="7"/>
    <n v="7"/>
    <n v="0.41"/>
  </r>
  <r>
    <x v="18"/>
    <x v="0"/>
    <s v="Tier 1"/>
    <n v="176"/>
    <n v="13317"/>
    <n v="41"/>
    <n v="13"/>
    <n v="0.47"/>
  </r>
  <r>
    <x v="18"/>
    <x v="1"/>
    <s v="Tier 1"/>
    <n v="133"/>
    <n v="10731"/>
    <n v="26"/>
    <n v="12"/>
    <n v="0.46"/>
  </r>
  <r>
    <x v="18"/>
    <x v="2"/>
    <s v="Tier 1"/>
    <n v="114"/>
    <n v="9426"/>
    <n v="19"/>
    <n v="12"/>
    <n v="0.27"/>
  </r>
  <r>
    <x v="18"/>
    <x v="3"/>
    <s v="Tier 1"/>
    <n v="104"/>
    <n v="8613"/>
    <n v="15"/>
    <n v="12"/>
    <n v="0.4"/>
  </r>
  <r>
    <x v="18"/>
    <x v="0"/>
    <s v="New Tier 1"/>
    <n v="138"/>
    <n v="12865"/>
    <n v="29"/>
    <n v="11"/>
    <n v="0.44"/>
  </r>
  <r>
    <x v="18"/>
    <x v="1"/>
    <s v="New Tier 1"/>
    <n v="118"/>
    <n v="10114"/>
    <n v="20"/>
    <n v="12"/>
    <n v="0.48"/>
  </r>
  <r>
    <x v="18"/>
    <x v="2"/>
    <s v="New Tier 1"/>
    <n v="103"/>
    <n v="8796"/>
    <n v="16"/>
    <n v="12"/>
    <n v="0.38"/>
  </r>
  <r>
    <x v="18"/>
    <x v="3"/>
    <s v="New Tier 1"/>
    <n v="77"/>
    <n v="7920"/>
    <n v="10"/>
    <n v="10"/>
    <n v="0.46"/>
  </r>
  <r>
    <x v="18"/>
    <x v="0"/>
    <s v="Tier 2"/>
    <n v="105"/>
    <n v="11988"/>
    <n v="19"/>
    <n v="9"/>
    <n v="0.48"/>
  </r>
  <r>
    <x v="18"/>
    <x v="1"/>
    <s v="Tier 2"/>
    <n v="85"/>
    <n v="9409"/>
    <n v="13"/>
    <n v="9"/>
    <n v="0.4"/>
  </r>
  <r>
    <x v="18"/>
    <x v="2"/>
    <s v="Tier 2"/>
    <n v="72"/>
    <n v="7776"/>
    <n v="9"/>
    <n v="9"/>
    <n v="0.37"/>
  </r>
  <r>
    <x v="18"/>
    <x v="3"/>
    <s v="Tier 2"/>
    <n v="61"/>
    <n v="7351"/>
    <n v="7"/>
    <n v="8"/>
    <n v="0.28000000000000003"/>
  </r>
  <r>
    <x v="19"/>
    <x v="0"/>
    <s v="Tier 1"/>
    <n v="184"/>
    <n v="13583"/>
    <n v="41"/>
    <n v="14"/>
    <n v="0.22"/>
  </r>
  <r>
    <x v="19"/>
    <x v="1"/>
    <s v="Tier 1"/>
    <n v="122"/>
    <n v="10740"/>
    <n v="24"/>
    <n v="11"/>
    <n v="0.49"/>
  </r>
  <r>
    <x v="19"/>
    <x v="2"/>
    <s v="Tier 1"/>
    <n v="108"/>
    <n v="8952"/>
    <n v="20"/>
    <n v="12"/>
    <n v="0.34"/>
  </r>
  <r>
    <x v="19"/>
    <x v="3"/>
    <s v="Tier 1"/>
    <n v="98"/>
    <n v="8299"/>
    <n v="15"/>
    <n v="12"/>
    <n v="0.37"/>
  </r>
  <r>
    <x v="19"/>
    <x v="0"/>
    <s v="New Tier 1"/>
    <n v="153"/>
    <n v="13341"/>
    <n v="30"/>
    <n v="11"/>
    <n v="0.4"/>
  </r>
  <r>
    <x v="19"/>
    <x v="1"/>
    <s v="New Tier 1"/>
    <n v="108"/>
    <n v="10147"/>
    <n v="19"/>
    <n v="11"/>
    <n v="0.21"/>
  </r>
  <r>
    <x v="19"/>
    <x v="2"/>
    <s v="New Tier 1"/>
    <n v="99"/>
    <n v="9124"/>
    <n v="16"/>
    <n v="11"/>
    <n v="0.27"/>
  </r>
  <r>
    <x v="19"/>
    <x v="3"/>
    <s v="New Tier 1"/>
    <n v="89"/>
    <n v="8575"/>
    <n v="13"/>
    <n v="10"/>
    <n v="0.31"/>
  </r>
  <r>
    <x v="19"/>
    <x v="0"/>
    <s v="Tier 2"/>
    <n v="112"/>
    <n v="12095"/>
    <n v="19"/>
    <n v="9"/>
    <n v="0.39"/>
  </r>
  <r>
    <x v="19"/>
    <x v="1"/>
    <s v="Tier 2"/>
    <n v="83"/>
    <n v="9033"/>
    <n v="13"/>
    <n v="9"/>
    <n v="0.41"/>
  </r>
  <r>
    <x v="19"/>
    <x v="2"/>
    <s v="Tier 2"/>
    <n v="76"/>
    <n v="7999"/>
    <n v="11"/>
    <n v="10"/>
    <n v="0.42"/>
  </r>
  <r>
    <x v="19"/>
    <x v="3"/>
    <s v="Tier 2"/>
    <n v="57"/>
    <n v="7709"/>
    <n v="6"/>
    <n v="7"/>
    <n v="0.41"/>
  </r>
  <r>
    <x v="20"/>
    <x v="0"/>
    <s v="Tier 1"/>
    <n v="167"/>
    <n v="14426"/>
    <n v="35"/>
    <n v="12"/>
    <n v="0.44"/>
  </r>
  <r>
    <x v="20"/>
    <x v="1"/>
    <s v="Tier 1"/>
    <n v="118"/>
    <n v="10468"/>
    <n v="24"/>
    <n v="11"/>
    <n v="0.24"/>
  </r>
  <r>
    <x v="20"/>
    <x v="2"/>
    <s v="Tier 1"/>
    <n v="105"/>
    <n v="9212"/>
    <n v="19"/>
    <n v="11"/>
    <n v="0.31"/>
  </r>
  <r>
    <x v="20"/>
    <x v="3"/>
    <s v="Tier 1"/>
    <n v="103"/>
    <n v="8574"/>
    <n v="14"/>
    <n v="12"/>
    <n v="0.44"/>
  </r>
  <r>
    <x v="20"/>
    <x v="0"/>
    <s v="New Tier 1"/>
    <n v="141"/>
    <n v="13701"/>
    <n v="28"/>
    <n v="10"/>
    <n v="0.31"/>
  </r>
  <r>
    <x v="20"/>
    <x v="1"/>
    <s v="New Tier 1"/>
    <n v="115"/>
    <n v="10256"/>
    <n v="21"/>
    <n v="11"/>
    <n v="0.23"/>
  </r>
  <r>
    <x v="20"/>
    <x v="2"/>
    <s v="New Tier 1"/>
    <n v="90"/>
    <n v="9041"/>
    <n v="15"/>
    <n v="10"/>
    <n v="0.47"/>
  </r>
  <r>
    <x v="20"/>
    <x v="3"/>
    <s v="New Tier 1"/>
    <n v="79"/>
    <n v="8409"/>
    <n v="11"/>
    <n v="9"/>
    <n v="0.21"/>
  </r>
  <r>
    <x v="20"/>
    <x v="0"/>
    <s v="Tier 2"/>
    <n v="115"/>
    <n v="11403"/>
    <n v="20"/>
    <n v="10"/>
    <n v="0.45"/>
  </r>
  <r>
    <x v="20"/>
    <x v="1"/>
    <s v="Tier 2"/>
    <n v="79"/>
    <n v="9411"/>
    <n v="13"/>
    <n v="8"/>
    <n v="0.22"/>
  </r>
  <r>
    <x v="20"/>
    <x v="2"/>
    <s v="Tier 2"/>
    <n v="73"/>
    <n v="8239"/>
    <n v="10"/>
    <n v="9"/>
    <n v="0.37"/>
  </r>
  <r>
    <x v="20"/>
    <x v="3"/>
    <s v="Tier 2"/>
    <n v="56"/>
    <n v="7405"/>
    <n v="6"/>
    <n v="8"/>
    <n v="0.28999999999999998"/>
  </r>
  <r>
    <x v="21"/>
    <x v="0"/>
    <s v="Tier 1"/>
    <n v="176"/>
    <n v="13850"/>
    <n v="39"/>
    <n v="13"/>
    <n v="0.35"/>
  </r>
  <r>
    <x v="21"/>
    <x v="1"/>
    <s v="Tier 1"/>
    <n v="139"/>
    <n v="10915"/>
    <n v="28"/>
    <n v="13"/>
    <n v="0.21"/>
  </r>
  <r>
    <x v="21"/>
    <x v="2"/>
    <s v="Tier 1"/>
    <n v="123"/>
    <n v="8878"/>
    <n v="22"/>
    <n v="14"/>
    <n v="0.31"/>
  </r>
  <r>
    <x v="21"/>
    <x v="3"/>
    <s v="Tier 1"/>
    <n v="98"/>
    <n v="8489"/>
    <n v="14"/>
    <n v="12"/>
    <n v="0.43"/>
  </r>
  <r>
    <x v="21"/>
    <x v="0"/>
    <s v="New Tier 1"/>
    <n v="134"/>
    <n v="13236"/>
    <n v="29"/>
    <n v="10"/>
    <n v="0.25"/>
  </r>
  <r>
    <x v="21"/>
    <x v="1"/>
    <s v="New Tier 1"/>
    <n v="110"/>
    <n v="10607"/>
    <n v="19"/>
    <n v="10"/>
    <n v="0.21"/>
  </r>
  <r>
    <x v="21"/>
    <x v="2"/>
    <s v="New Tier 1"/>
    <n v="100"/>
    <n v="8665"/>
    <n v="15"/>
    <n v="12"/>
    <n v="0.44"/>
  </r>
  <r>
    <x v="21"/>
    <x v="3"/>
    <s v="New Tier 1"/>
    <n v="80"/>
    <n v="7933"/>
    <n v="11"/>
    <n v="10"/>
    <n v="0.27"/>
  </r>
  <r>
    <x v="21"/>
    <x v="0"/>
    <s v="Tier 2"/>
    <n v="110"/>
    <n v="11970"/>
    <n v="20"/>
    <n v="9"/>
    <n v="0.5"/>
  </r>
  <r>
    <x v="21"/>
    <x v="1"/>
    <s v="Tier 2"/>
    <n v="86"/>
    <n v="9184"/>
    <n v="14"/>
    <n v="9"/>
    <n v="0.44"/>
  </r>
  <r>
    <x v="21"/>
    <x v="2"/>
    <s v="Tier 2"/>
    <n v="71"/>
    <n v="8229"/>
    <n v="9"/>
    <n v="9"/>
    <n v="0.39"/>
  </r>
  <r>
    <x v="21"/>
    <x v="3"/>
    <s v="Tier 2"/>
    <n v="66"/>
    <n v="7173"/>
    <n v="8"/>
    <n v="9"/>
    <n v="0.32"/>
  </r>
  <r>
    <x v="22"/>
    <x v="0"/>
    <s v="Tier 1"/>
    <n v="170"/>
    <n v="14354"/>
    <n v="39"/>
    <n v="12"/>
    <n v="0.48"/>
  </r>
  <r>
    <x v="22"/>
    <x v="1"/>
    <s v="Tier 1"/>
    <n v="130"/>
    <n v="11440"/>
    <n v="24"/>
    <n v="11"/>
    <n v="0.33"/>
  </r>
  <r>
    <x v="22"/>
    <x v="2"/>
    <s v="Tier 1"/>
    <n v="109"/>
    <n v="9036"/>
    <n v="19"/>
    <n v="12"/>
    <n v="0.35"/>
  </r>
  <r>
    <x v="22"/>
    <x v="3"/>
    <s v="Tier 1"/>
    <n v="93"/>
    <n v="8627"/>
    <n v="15"/>
    <n v="11"/>
    <n v="0.26"/>
  </r>
  <r>
    <x v="22"/>
    <x v="0"/>
    <s v="New Tier 1"/>
    <n v="133"/>
    <n v="13037"/>
    <n v="28"/>
    <n v="10"/>
    <n v="0.46"/>
  </r>
  <r>
    <x v="22"/>
    <x v="1"/>
    <s v="New Tier 1"/>
    <n v="110"/>
    <n v="10416"/>
    <n v="19"/>
    <n v="11"/>
    <n v="0.5"/>
  </r>
  <r>
    <x v="22"/>
    <x v="2"/>
    <s v="New Tier 1"/>
    <n v="105"/>
    <n v="8541"/>
    <n v="16"/>
    <n v="12"/>
    <n v="0.28000000000000003"/>
  </r>
  <r>
    <x v="22"/>
    <x v="3"/>
    <s v="New Tier 1"/>
    <n v="92"/>
    <n v="8632"/>
    <n v="12"/>
    <n v="11"/>
    <n v="0.44"/>
  </r>
  <r>
    <x v="22"/>
    <x v="0"/>
    <s v="Tier 2"/>
    <n v="109"/>
    <n v="12292"/>
    <n v="20"/>
    <n v="9"/>
    <n v="0.26"/>
  </r>
  <r>
    <x v="22"/>
    <x v="1"/>
    <s v="Tier 2"/>
    <n v="82"/>
    <n v="9093"/>
    <n v="12"/>
    <n v="9"/>
    <n v="0.33"/>
  </r>
  <r>
    <x v="22"/>
    <x v="2"/>
    <s v="Tier 2"/>
    <n v="74"/>
    <n v="7847"/>
    <n v="10"/>
    <n v="9"/>
    <n v="0.43"/>
  </r>
  <r>
    <x v="22"/>
    <x v="3"/>
    <s v="Tier 2"/>
    <n v="59"/>
    <n v="7350"/>
    <n v="6"/>
    <n v="8"/>
    <n v="0.37"/>
  </r>
  <r>
    <x v="23"/>
    <x v="0"/>
    <s v="Tier 1"/>
    <n v="161"/>
    <n v="14149"/>
    <n v="34"/>
    <n v="11"/>
    <n v="0.21"/>
  </r>
  <r>
    <x v="23"/>
    <x v="1"/>
    <s v="Tier 1"/>
    <n v="127"/>
    <n v="10814"/>
    <n v="26"/>
    <n v="12"/>
    <n v="0.48"/>
  </r>
  <r>
    <x v="23"/>
    <x v="2"/>
    <s v="Tier 1"/>
    <n v="119"/>
    <n v="9403"/>
    <n v="21"/>
    <n v="13"/>
    <n v="0.41"/>
  </r>
  <r>
    <x v="23"/>
    <x v="3"/>
    <s v="Tier 1"/>
    <n v="94"/>
    <n v="8325"/>
    <n v="13"/>
    <n v="11"/>
    <n v="0.42"/>
  </r>
  <r>
    <x v="23"/>
    <x v="0"/>
    <s v="New Tier 1"/>
    <n v="147"/>
    <n v="13815"/>
    <n v="31"/>
    <n v="11"/>
    <n v="0.26"/>
  </r>
  <r>
    <x v="23"/>
    <x v="1"/>
    <s v="New Tier 1"/>
    <n v="99"/>
    <n v="10114"/>
    <n v="19"/>
    <n v="10"/>
    <n v="0.31"/>
  </r>
  <r>
    <x v="23"/>
    <x v="2"/>
    <s v="New Tier 1"/>
    <n v="103"/>
    <n v="8932"/>
    <n v="15"/>
    <n v="12"/>
    <n v="0.48"/>
  </r>
  <r>
    <x v="23"/>
    <x v="3"/>
    <s v="New Tier 1"/>
    <n v="86"/>
    <n v="8362"/>
    <n v="11"/>
    <n v="10"/>
    <n v="0.22"/>
  </r>
  <r>
    <x v="23"/>
    <x v="0"/>
    <s v="Tier 2"/>
    <n v="96"/>
    <n v="11423"/>
    <n v="16"/>
    <n v="8"/>
    <n v="0.28000000000000003"/>
  </r>
  <r>
    <x v="23"/>
    <x v="1"/>
    <s v="Tier 2"/>
    <n v="80"/>
    <n v="9529"/>
    <n v="12"/>
    <n v="8"/>
    <n v="0.25"/>
  </r>
  <r>
    <x v="23"/>
    <x v="2"/>
    <s v="Tier 2"/>
    <n v="69"/>
    <n v="8168"/>
    <n v="9"/>
    <n v="8"/>
    <n v="0.21"/>
  </r>
  <r>
    <x v="23"/>
    <x v="3"/>
    <s v="Tier 2"/>
    <n v="60"/>
    <n v="7630"/>
    <n v="7"/>
    <n v="8"/>
    <n v="0.21"/>
  </r>
  <r>
    <x v="24"/>
    <x v="0"/>
    <s v="Tier 1"/>
    <n v="170"/>
    <n v="13964"/>
    <n v="37"/>
    <n v="12"/>
    <n v="0.39"/>
  </r>
  <r>
    <x v="24"/>
    <x v="1"/>
    <s v="Tier 1"/>
    <n v="127"/>
    <n v="11111"/>
    <n v="26"/>
    <n v="11"/>
    <n v="0.3"/>
  </r>
  <r>
    <x v="24"/>
    <x v="2"/>
    <s v="Tier 1"/>
    <n v="112"/>
    <n v="9031"/>
    <n v="18"/>
    <n v="12"/>
    <n v="0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07AC3-0F4D-B448-BF7D-F8D9E9DBC3E3}" name="PivotTable1" cacheId="24" applyNumberFormats="0" applyBorderFormats="0" applyFontFormats="0" applyPatternFormats="0" applyAlignmentFormats="0" applyWidthHeightFormats="1" dataCaption="Values" grandTotalCaption="#" updatedVersion="8" minRefreshableVersion="3" useAutoFormatting="1" itemPrintTitles="1" createdVersion="8" indent="0" outline="1" outlineData="1" multipleFieldFilters="0" chartFormat="5">
  <location ref="A3:P8" firstHeaderRow="1" firstDataRow="3" firstDataCol="1"/>
  <pivotFields count="10">
    <pivotField numFmtId="14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Col" showAll="0" defaultSubtotal="0">
      <items count="4">
        <item x="3"/>
        <item x="1"/>
        <item x="2"/>
        <item x="0"/>
      </items>
    </pivotField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9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5">
        <item x="0"/>
        <item x="1"/>
        <item x="2"/>
        <item h="1" x="3"/>
        <item x="4"/>
      </items>
    </pivotField>
  </pivotFields>
  <rowFields count="1">
    <field x="9"/>
  </rowFields>
  <rowItems count="3">
    <i>
      <x v="1"/>
    </i>
    <i>
      <x v="2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 (Million RMB)" fld="3" baseField="0" baseItem="0"/>
    <dataField name="Sum of Sales (Million RMB)2" fld="3" showDataAs="percentDiff" baseField="9" baseItem="1" numFmtId="10"/>
    <dataField name="Sum of Marketing Spend (Million RMB)" fld="5" showDataAs="percentDiff" baseField="9" baseItem="1" numFmtId="1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20542-EA68-A442-B708-C3F4BB8D68AA}" name="Table1" displayName="Table1" ref="A1:H292" headerRowDxfId="9">
  <autoFilter ref="A1:H292" xr:uid="{A3420542-EA68-A442-B708-C3F4BB8D68AA}"/>
  <tableColumns count="8">
    <tableColumn id="1" xr3:uid="{A1D4C3AD-B7EE-104F-92FC-921B61550F70}" name="Date" totalsRowLabel="Total" dataDxfId="8">
      <calculatedColumnFormula>DATE(2023,1+INT((ROW()-2)/12),1)</calculatedColumnFormula>
    </tableColumn>
    <tableColumn id="2" xr3:uid="{F22FDC79-1EE3-084E-A565-B915AC3D4FA9}" name="Brand" dataDxfId="7">
      <calculatedColumnFormula array="1">INDEX($J$2:$J$5, MOD(ROW()-2,4)+1)</calculatedColumnFormula>
    </tableColumn>
    <tableColumn id="3" xr3:uid="{DAD93808-432E-F94B-9B4D-98DC3BBF463C}" name="City Tier" dataDxfId="6">
      <calculatedColumnFormula array="1">INDEX($L$2:$L$4, INT(MOD(ROW()-2,12)/4)+1)</calculatedColumnFormula>
    </tableColumn>
    <tableColumn id="4" xr3:uid="{E661B02A-F79D-6B47-988E-08775C9F49E8}" name="Sales (Million RMB)" dataDxfId="5"/>
    <tableColumn id="5" xr3:uid="{F28F766E-8E60-CC48-89CE-8DBF917D72C7}" name="Avg Price (RMB)" dataDxfId="4"/>
    <tableColumn id="6" xr3:uid="{FD5A5544-9535-614B-897E-A018B12D80FD}" name="Marketing Spend (Million RMB)" dataDxfId="3"/>
    <tableColumn id="7" xr3:uid="{E1D926E9-42D1-8144-A6DF-FA293654DBD7}" name="Store Count" dataDxfId="2"/>
    <tableColumn id="8" xr3:uid="{46C4F253-9B31-E248-B205-C0C3735933F0}" name="Online Sales %" totalsRowFunction="sum" dataDxfId="1" totalsRowDxfId="0" dataCellStyle="Percen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2821-C6F2-D94A-9881-FFE17DA0FA76}">
  <dimension ref="A1:P14"/>
  <sheetViews>
    <sheetView tabSelected="1" zoomScale="68" zoomScaleNormal="50" workbookViewId="0">
      <selection activeCell="D43" sqref="D43"/>
    </sheetView>
  </sheetViews>
  <sheetFormatPr baseColWidth="10" defaultRowHeight="16" x14ac:dyDescent="0.2"/>
  <cols>
    <col min="1" max="1" width="15.83203125" bestFit="1" customWidth="1"/>
    <col min="2" max="2" width="24.1640625" bestFit="1" customWidth="1"/>
    <col min="3" max="3" width="25.1640625" bestFit="1" customWidth="1"/>
    <col min="4" max="4" width="33.83203125" bestFit="1" customWidth="1"/>
    <col min="5" max="5" width="24.1640625" bestFit="1" customWidth="1"/>
    <col min="6" max="6" width="25.1640625" bestFit="1" customWidth="1"/>
    <col min="7" max="7" width="33.83203125" bestFit="1" customWidth="1"/>
    <col min="8" max="8" width="24.1640625" bestFit="1" customWidth="1"/>
    <col min="9" max="9" width="25.1640625" bestFit="1" customWidth="1"/>
    <col min="10" max="10" width="33.83203125" bestFit="1" customWidth="1"/>
    <col min="11" max="11" width="24.1640625" bestFit="1" customWidth="1"/>
    <col min="12" max="12" width="25.1640625" bestFit="1" customWidth="1"/>
    <col min="13" max="13" width="33.83203125" bestFit="1" customWidth="1"/>
    <col min="14" max="14" width="29.1640625" bestFit="1" customWidth="1"/>
    <col min="15" max="15" width="30.1640625" bestFit="1" customWidth="1"/>
    <col min="16" max="16" width="38.83203125" bestFit="1" customWidth="1"/>
  </cols>
  <sheetData>
    <row r="1" spans="1:16" ht="22" x14ac:dyDescent="0.3">
      <c r="A1" s="1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6" x14ac:dyDescent="0.2">
      <c r="B3" s="8" t="s">
        <v>21</v>
      </c>
    </row>
    <row r="4" spans="1:16" x14ac:dyDescent="0.2">
      <c r="B4" t="s">
        <v>12</v>
      </c>
      <c r="E4" t="s">
        <v>10</v>
      </c>
      <c r="H4" t="s">
        <v>11</v>
      </c>
      <c r="K4" t="s">
        <v>9</v>
      </c>
      <c r="N4" t="s">
        <v>24</v>
      </c>
      <c r="O4" t="s">
        <v>25</v>
      </c>
      <c r="P4" t="s">
        <v>27</v>
      </c>
    </row>
    <row r="5" spans="1:16" x14ac:dyDescent="0.2">
      <c r="A5" s="8" t="s">
        <v>18</v>
      </c>
      <c r="B5" t="s">
        <v>22</v>
      </c>
      <c r="C5" t="s">
        <v>26</v>
      </c>
      <c r="D5" t="s">
        <v>28</v>
      </c>
      <c r="E5" t="s">
        <v>22</v>
      </c>
      <c r="F5" t="s">
        <v>26</v>
      </c>
      <c r="G5" t="s">
        <v>28</v>
      </c>
      <c r="H5" t="s">
        <v>22</v>
      </c>
      <c r="I5" t="s">
        <v>26</v>
      </c>
      <c r="J5" t="s">
        <v>28</v>
      </c>
      <c r="K5" t="s">
        <v>22</v>
      </c>
      <c r="L5" t="s">
        <v>26</v>
      </c>
      <c r="M5" t="s">
        <v>28</v>
      </c>
    </row>
    <row r="6" spans="1:16" x14ac:dyDescent="0.2">
      <c r="A6" s="9" t="s">
        <v>19</v>
      </c>
      <c r="B6">
        <v>2922</v>
      </c>
      <c r="C6" s="10"/>
      <c r="D6" s="10"/>
      <c r="E6">
        <v>3891</v>
      </c>
      <c r="F6" s="10"/>
      <c r="G6" s="10"/>
      <c r="H6">
        <v>3414</v>
      </c>
      <c r="I6" s="10"/>
      <c r="J6" s="10"/>
      <c r="K6">
        <v>5112</v>
      </c>
      <c r="L6" s="10"/>
      <c r="M6" s="10"/>
      <c r="N6">
        <v>15339</v>
      </c>
      <c r="O6" s="10"/>
      <c r="P6" s="10"/>
    </row>
    <row r="7" spans="1:16" x14ac:dyDescent="0.2">
      <c r="A7" s="9" t="s">
        <v>20</v>
      </c>
      <c r="B7">
        <v>2901</v>
      </c>
      <c r="C7" s="10">
        <v>-7.1868583162217657E-3</v>
      </c>
      <c r="D7" s="10">
        <v>-2.0151133501259445E-2</v>
      </c>
      <c r="E7">
        <v>3845</v>
      </c>
      <c r="F7" s="10">
        <v>-1.1822153687997944E-2</v>
      </c>
      <c r="G7" s="10">
        <v>-5.681818181818182E-3</v>
      </c>
      <c r="H7">
        <v>3421</v>
      </c>
      <c r="I7" s="10">
        <v>2.0503807850029291E-3</v>
      </c>
      <c r="J7" s="10">
        <v>-1.834862385321101E-3</v>
      </c>
      <c r="K7">
        <v>5061</v>
      </c>
      <c r="L7" s="10">
        <v>-9.9765258215962441E-3</v>
      </c>
      <c r="M7" s="10">
        <v>1.9323671497584541E-3</v>
      </c>
      <c r="N7">
        <v>15228</v>
      </c>
      <c r="O7" s="10">
        <v>-7.2364560923137101E-3</v>
      </c>
      <c r="P7" s="10">
        <v>-4.1029466616933977E-3</v>
      </c>
    </row>
    <row r="8" spans="1:16" x14ac:dyDescent="0.2">
      <c r="A8" s="9" t="s">
        <v>23</v>
      </c>
      <c r="B8">
        <v>5823</v>
      </c>
      <c r="C8" s="10"/>
      <c r="D8" s="10"/>
      <c r="E8">
        <v>7736</v>
      </c>
      <c r="F8" s="10"/>
      <c r="G8" s="10"/>
      <c r="H8">
        <v>6835</v>
      </c>
      <c r="I8" s="10"/>
      <c r="J8" s="10"/>
      <c r="K8">
        <v>10173</v>
      </c>
      <c r="L8" s="10"/>
      <c r="M8" s="10"/>
      <c r="N8">
        <v>30567</v>
      </c>
      <c r="O8" s="10"/>
      <c r="P8" s="10"/>
    </row>
    <row r="10" spans="1:16" x14ac:dyDescent="0.2">
      <c r="A10" s="9" t="s">
        <v>1</v>
      </c>
      <c r="B10" t="s">
        <v>29</v>
      </c>
      <c r="C10" t="s">
        <v>30</v>
      </c>
      <c r="D10" t="s">
        <v>31</v>
      </c>
    </row>
    <row r="11" spans="1:16" x14ac:dyDescent="0.2">
      <c r="A11" s="9" t="s">
        <v>12</v>
      </c>
      <c r="B11" s="10">
        <v>-7.1999999999999998E-3</v>
      </c>
      <c r="C11" s="10">
        <v>-2.0199999999999999E-2</v>
      </c>
      <c r="D11" s="11">
        <f xml:space="preserve"> B11 / C11</f>
        <v>0.35643564356435642</v>
      </c>
    </row>
    <row r="12" spans="1:16" x14ac:dyDescent="0.2">
      <c r="A12" s="9" t="s">
        <v>10</v>
      </c>
      <c r="B12" s="10">
        <v>-1.18E-2</v>
      </c>
      <c r="C12" s="10">
        <v>-5.7000000000000002E-3</v>
      </c>
      <c r="D12" s="11">
        <f t="shared" ref="D12:D14" si="0" xml:space="preserve"> B12 / C12</f>
        <v>2.070175438596491</v>
      </c>
    </row>
    <row r="13" spans="1:16" x14ac:dyDescent="0.2">
      <c r="A13" s="9" t="s">
        <v>11</v>
      </c>
      <c r="B13" s="10">
        <v>2.0999999999999999E-3</v>
      </c>
      <c r="C13" s="10">
        <v>-1.8E-3</v>
      </c>
      <c r="D13" s="11">
        <f t="shared" si="0"/>
        <v>-1.1666666666666665</v>
      </c>
    </row>
    <row r="14" spans="1:16" x14ac:dyDescent="0.2">
      <c r="A14" s="9" t="s">
        <v>9</v>
      </c>
      <c r="B14" s="10">
        <v>-7.1999999999999998E-3</v>
      </c>
      <c r="C14" s="10">
        <v>-4.1000000000000003E-3</v>
      </c>
      <c r="D14" s="11">
        <f t="shared" si="0"/>
        <v>1.7560975609756095</v>
      </c>
    </row>
  </sheetData>
  <mergeCells count="1">
    <mergeCell ref="A1:K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3D8F-08CC-D44F-8022-4161CBB971F1}">
  <dimension ref="A1:N292"/>
  <sheetViews>
    <sheetView topLeftCell="A2" zoomScale="88" zoomScaleNormal="131" workbookViewId="0">
      <selection activeCell="B2" sqref="B2"/>
    </sheetView>
  </sheetViews>
  <sheetFormatPr baseColWidth="10" defaultRowHeight="16" x14ac:dyDescent="0.2"/>
  <cols>
    <col min="1" max="3" width="25.83203125" customWidth="1"/>
    <col min="4" max="4" width="26" customWidth="1"/>
    <col min="5" max="8" width="25.83203125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/>
      <c r="J1" t="s">
        <v>8</v>
      </c>
      <c r="L1" t="s">
        <v>13</v>
      </c>
      <c r="N1" t="s">
        <v>17</v>
      </c>
    </row>
    <row r="2" spans="1:14" x14ac:dyDescent="0.2">
      <c r="A2" s="3">
        <f t="shared" ref="A2:A65" si="0">DATE(2023,1+INT((ROW()-2)/12),1)</f>
        <v>44927</v>
      </c>
      <c r="B2" s="4" t="str" cm="1">
        <f t="array" ref="B2">INDEX($J$2:$J$5, MOD(ROW()-2,4)+1)</f>
        <v>Louis Vuitton</v>
      </c>
      <c r="C2" s="4" t="str" cm="1">
        <f t="array" ref="C2">INDEX($L$2:$L$4, INT(MOD(ROW()-2,12)/4)+1)</f>
        <v>Tier 1</v>
      </c>
      <c r="D2" s="4">
        <v>173</v>
      </c>
      <c r="E2" s="4">
        <v>14247</v>
      </c>
      <c r="F2" s="4">
        <v>38</v>
      </c>
      <c r="G2" s="4">
        <v>12</v>
      </c>
      <c r="H2" s="5">
        <v>0.49</v>
      </c>
      <c r="J2" t="s">
        <v>9</v>
      </c>
      <c r="L2" t="s">
        <v>14</v>
      </c>
      <c r="N2" s="1">
        <v>44927</v>
      </c>
    </row>
    <row r="3" spans="1:14" x14ac:dyDescent="0.2">
      <c r="A3" s="3">
        <f t="shared" si="0"/>
        <v>44927</v>
      </c>
      <c r="B3" s="4" t="str" cm="1">
        <f t="array" ref="B3">INDEX($J$2:$J$5, MOD(ROW()-2,4)+1)</f>
        <v>Dior</v>
      </c>
      <c r="C3" s="4" t="str" cm="1">
        <f t="array" ref="C3">INDEX($L$2:$L$4, INT(MOD(ROW()-2,12)/4)+1)</f>
        <v>Tier 1</v>
      </c>
      <c r="D3" s="4">
        <v>137</v>
      </c>
      <c r="E3" s="4">
        <v>11401</v>
      </c>
      <c r="F3" s="4">
        <v>28</v>
      </c>
      <c r="G3" s="4">
        <v>12</v>
      </c>
      <c r="H3" s="5">
        <v>0.4</v>
      </c>
      <c r="J3" t="s">
        <v>10</v>
      </c>
      <c r="L3" t="s">
        <v>15</v>
      </c>
      <c r="N3" s="2">
        <v>44958</v>
      </c>
    </row>
    <row r="4" spans="1:14" x14ac:dyDescent="0.2">
      <c r="A4" s="3">
        <f t="shared" si="0"/>
        <v>44927</v>
      </c>
      <c r="B4" s="4" t="str" cm="1">
        <f t="array" ref="B4">INDEX($J$2:$J$5, MOD(ROW()-2,4)+1)</f>
        <v>Gucci</v>
      </c>
      <c r="C4" s="4" t="str" cm="1">
        <f t="array" ref="C4">INDEX($L$2:$L$4, INT(MOD(ROW()-2,12)/4)+1)</f>
        <v>Tier 1</v>
      </c>
      <c r="D4" s="4">
        <v>109</v>
      </c>
      <c r="E4" s="4">
        <v>8956</v>
      </c>
      <c r="F4" s="4">
        <v>20</v>
      </c>
      <c r="G4" s="4">
        <v>12</v>
      </c>
      <c r="H4" s="5">
        <v>0.27</v>
      </c>
      <c r="J4" t="s">
        <v>11</v>
      </c>
      <c r="L4" t="s">
        <v>16</v>
      </c>
      <c r="N4" s="1">
        <v>44986</v>
      </c>
    </row>
    <row r="5" spans="1:14" x14ac:dyDescent="0.2">
      <c r="A5" s="3">
        <f t="shared" si="0"/>
        <v>44927</v>
      </c>
      <c r="B5" t="str" cm="1">
        <f t="array" ref="B5">INDEX($J$2:$J$5, MOD(ROW()-2,4)+1)</f>
        <v>Chanel</v>
      </c>
      <c r="C5" t="str" cm="1">
        <f t="array" ref="C5">INDEX($L$2:$L$4, INT(MOD(ROW()-2,12)/4)+1)</f>
        <v>Tier 1</v>
      </c>
      <c r="D5">
        <v>102</v>
      </c>
      <c r="E5">
        <v>9005</v>
      </c>
      <c r="F5">
        <v>16</v>
      </c>
      <c r="G5">
        <v>11</v>
      </c>
      <c r="H5" s="6">
        <v>0.31</v>
      </c>
      <c r="J5" t="s">
        <v>12</v>
      </c>
      <c r="N5" s="2">
        <v>45017</v>
      </c>
    </row>
    <row r="6" spans="1:14" x14ac:dyDescent="0.2">
      <c r="A6" s="3">
        <f t="shared" si="0"/>
        <v>44927</v>
      </c>
      <c r="B6" t="str" cm="1">
        <f t="array" ref="B6">INDEX($J$2:$J$5, MOD(ROW()-2,4)+1)</f>
        <v>Louis Vuitton</v>
      </c>
      <c r="C6" t="str" cm="1">
        <f t="array" ref="C6">INDEX($L$2:$L$4, INT(MOD(ROW()-2,12)/4)+1)</f>
        <v>New Tier 1</v>
      </c>
      <c r="D6">
        <v>152</v>
      </c>
      <c r="E6">
        <v>13366</v>
      </c>
      <c r="F6">
        <v>32</v>
      </c>
      <c r="G6">
        <v>11</v>
      </c>
      <c r="H6" s="6">
        <v>0.24</v>
      </c>
      <c r="N6" s="1">
        <v>45047</v>
      </c>
    </row>
    <row r="7" spans="1:14" x14ac:dyDescent="0.2">
      <c r="A7" s="3">
        <f t="shared" si="0"/>
        <v>44927</v>
      </c>
      <c r="B7" t="str" cm="1">
        <f t="array" ref="B7">INDEX($J$2:$J$5, MOD(ROW()-2,4)+1)</f>
        <v>Dior</v>
      </c>
      <c r="C7" t="str" cm="1">
        <f t="array" ref="C7">INDEX($L$2:$L$4, INT(MOD(ROW()-2,12)/4)+1)</f>
        <v>New Tier 1</v>
      </c>
      <c r="D7">
        <v>113</v>
      </c>
      <c r="E7">
        <v>10068</v>
      </c>
      <c r="F7">
        <v>21</v>
      </c>
      <c r="G7">
        <v>11</v>
      </c>
      <c r="H7" s="6">
        <v>0.43</v>
      </c>
      <c r="N7" s="2">
        <v>45078</v>
      </c>
    </row>
    <row r="8" spans="1:14" x14ac:dyDescent="0.2">
      <c r="A8" s="3">
        <f t="shared" si="0"/>
        <v>44927</v>
      </c>
      <c r="B8" t="str" cm="1">
        <f t="array" ref="B8">INDEX($J$2:$J$5, MOD(ROW()-2,4)+1)</f>
        <v>Gucci</v>
      </c>
      <c r="C8" t="str" cm="1">
        <f t="array" ref="C8">INDEX($L$2:$L$4, INT(MOD(ROW()-2,12)/4)+1)</f>
        <v>New Tier 1</v>
      </c>
      <c r="D8">
        <v>96</v>
      </c>
      <c r="E8">
        <v>9222</v>
      </c>
      <c r="F8">
        <v>16</v>
      </c>
      <c r="G8">
        <v>10</v>
      </c>
      <c r="H8" s="6">
        <v>0.35</v>
      </c>
      <c r="N8" s="1">
        <v>45108</v>
      </c>
    </row>
    <row r="9" spans="1:14" x14ac:dyDescent="0.2">
      <c r="A9" s="3">
        <f t="shared" si="0"/>
        <v>44927</v>
      </c>
      <c r="B9" t="str" cm="1">
        <f t="array" ref="B9">INDEX($J$2:$J$5, MOD(ROW()-2,4)+1)</f>
        <v>Chanel</v>
      </c>
      <c r="C9" t="str" cm="1">
        <f t="array" ref="C9">INDEX($L$2:$L$4, INT(MOD(ROW()-2,12)/4)+1)</f>
        <v>New Tier 1</v>
      </c>
      <c r="D9">
        <v>85</v>
      </c>
      <c r="E9">
        <v>7998</v>
      </c>
      <c r="F9">
        <v>11</v>
      </c>
      <c r="G9">
        <v>11</v>
      </c>
      <c r="H9" s="6">
        <v>0.35</v>
      </c>
      <c r="N9" s="2">
        <v>45139</v>
      </c>
    </row>
    <row r="10" spans="1:14" x14ac:dyDescent="0.2">
      <c r="A10" s="3">
        <f t="shared" si="0"/>
        <v>44927</v>
      </c>
      <c r="B10" t="str" cm="1">
        <f t="array" ref="B10">INDEX($J$2:$J$5, MOD(ROW()-2,4)+1)</f>
        <v>Louis Vuitton</v>
      </c>
      <c r="C10" t="str" cm="1">
        <f t="array" ref="C10">INDEX($L$2:$L$4, INT(MOD(ROW()-2,12)/4)+1)</f>
        <v>Tier 2</v>
      </c>
      <c r="D10">
        <v>99</v>
      </c>
      <c r="E10">
        <v>12327</v>
      </c>
      <c r="F10">
        <v>18</v>
      </c>
      <c r="G10">
        <v>8</v>
      </c>
      <c r="H10" s="6">
        <v>0.45</v>
      </c>
      <c r="N10" s="1">
        <v>45170</v>
      </c>
    </row>
    <row r="11" spans="1:14" x14ac:dyDescent="0.2">
      <c r="A11" s="3">
        <f t="shared" si="0"/>
        <v>44927</v>
      </c>
      <c r="B11" t="str" cm="1">
        <f t="array" ref="B11">INDEX($J$2:$J$5, MOD(ROW()-2,4)+1)</f>
        <v>Dior</v>
      </c>
      <c r="C11" t="str" cm="1">
        <f t="array" ref="C11">INDEX($L$2:$L$4, INT(MOD(ROW()-2,12)/4)+1)</f>
        <v>Tier 2</v>
      </c>
      <c r="D11">
        <v>79</v>
      </c>
      <c r="E11">
        <v>9058</v>
      </c>
      <c r="F11">
        <v>12</v>
      </c>
      <c r="G11">
        <v>9</v>
      </c>
      <c r="H11" s="6">
        <v>0.36</v>
      </c>
      <c r="N11" s="2">
        <v>45200</v>
      </c>
    </row>
    <row r="12" spans="1:14" x14ac:dyDescent="0.2">
      <c r="A12" s="3">
        <f t="shared" si="0"/>
        <v>44927</v>
      </c>
      <c r="B12" t="str" cm="1">
        <f t="array" ref="B12">INDEX($J$2:$J$5, MOD(ROW()-2,4)+1)</f>
        <v>Gucci</v>
      </c>
      <c r="C12" t="str" cm="1">
        <f t="array" ref="C12">INDEX($L$2:$L$4, INT(MOD(ROW()-2,12)/4)+1)</f>
        <v>Tier 2</v>
      </c>
      <c r="D12">
        <v>71</v>
      </c>
      <c r="E12">
        <v>7848</v>
      </c>
      <c r="F12">
        <v>9</v>
      </c>
      <c r="G12">
        <v>9</v>
      </c>
      <c r="H12" s="6">
        <v>0.4</v>
      </c>
      <c r="N12" s="1">
        <v>45231</v>
      </c>
    </row>
    <row r="13" spans="1:14" x14ac:dyDescent="0.2">
      <c r="A13" s="3">
        <f t="shared" si="0"/>
        <v>44927</v>
      </c>
      <c r="B13" t="str" cm="1">
        <f t="array" ref="B13">INDEX($J$2:$J$5, MOD(ROW()-2,4)+1)</f>
        <v>Chanel</v>
      </c>
      <c r="C13" t="str" cm="1">
        <f t="array" ref="C13">INDEX($L$2:$L$4, INT(MOD(ROW()-2,12)/4)+1)</f>
        <v>Tier 2</v>
      </c>
      <c r="D13">
        <v>59</v>
      </c>
      <c r="E13">
        <v>7546</v>
      </c>
      <c r="F13">
        <v>7</v>
      </c>
      <c r="G13">
        <v>8</v>
      </c>
      <c r="H13" s="6">
        <v>0.38</v>
      </c>
      <c r="N13" s="2">
        <v>45261</v>
      </c>
    </row>
    <row r="14" spans="1:14" x14ac:dyDescent="0.2">
      <c r="A14" s="3">
        <f t="shared" si="0"/>
        <v>44958</v>
      </c>
      <c r="B14" t="str" cm="1">
        <f t="array" ref="B14">INDEX($J$2:$J$5, MOD(ROW()-2,4)+1)</f>
        <v>Louis Vuitton</v>
      </c>
      <c r="C14" t="str" cm="1">
        <f t="array" ref="C14">INDEX($L$2:$L$4, INT(MOD(ROW()-2,12)/4)+1)</f>
        <v>Tier 1</v>
      </c>
      <c r="D14">
        <v>179</v>
      </c>
      <c r="E14">
        <v>14419</v>
      </c>
      <c r="F14">
        <v>38</v>
      </c>
      <c r="G14">
        <v>12</v>
      </c>
      <c r="H14" s="6">
        <v>0.3</v>
      </c>
      <c r="N14" s="1">
        <v>45292</v>
      </c>
    </row>
    <row r="15" spans="1:14" x14ac:dyDescent="0.2">
      <c r="A15" s="3">
        <f t="shared" si="0"/>
        <v>44958</v>
      </c>
      <c r="B15" t="str" cm="1">
        <f t="array" ref="B15">INDEX($J$2:$J$5, MOD(ROW()-2,4)+1)</f>
        <v>Dior</v>
      </c>
      <c r="C15" t="str" cm="1">
        <f t="array" ref="C15">INDEX($L$2:$L$4, INT(MOD(ROW()-2,12)/4)+1)</f>
        <v>Tier 1</v>
      </c>
      <c r="D15">
        <v>124</v>
      </c>
      <c r="E15">
        <v>11150</v>
      </c>
      <c r="F15">
        <v>24</v>
      </c>
      <c r="G15">
        <v>11</v>
      </c>
      <c r="H15" s="6">
        <v>0.38</v>
      </c>
      <c r="N15" s="2">
        <v>45323</v>
      </c>
    </row>
    <row r="16" spans="1:14" x14ac:dyDescent="0.2">
      <c r="A16" s="3">
        <f t="shared" si="0"/>
        <v>44958</v>
      </c>
      <c r="B16" t="str" cm="1">
        <f t="array" ref="B16">INDEX($J$2:$J$5, MOD(ROW()-2,4)+1)</f>
        <v>Gucci</v>
      </c>
      <c r="C16" t="str" cm="1">
        <f t="array" ref="C16">INDEX($L$2:$L$4, INT(MOD(ROW()-2,12)/4)+1)</f>
        <v>Tier 1</v>
      </c>
      <c r="D16">
        <v>120</v>
      </c>
      <c r="E16">
        <v>9141</v>
      </c>
      <c r="F16">
        <v>19</v>
      </c>
      <c r="G16">
        <v>13</v>
      </c>
      <c r="H16" s="6">
        <v>0.42</v>
      </c>
      <c r="N16" s="1">
        <v>45352</v>
      </c>
    </row>
    <row r="17" spans="1:14" x14ac:dyDescent="0.2">
      <c r="A17" s="3">
        <f t="shared" si="0"/>
        <v>44958</v>
      </c>
      <c r="B17" t="str" cm="1">
        <f t="array" ref="B17">INDEX($J$2:$J$5, MOD(ROW()-2,4)+1)</f>
        <v>Chanel</v>
      </c>
      <c r="C17" t="str" cm="1">
        <f t="array" ref="C17">INDEX($L$2:$L$4, INT(MOD(ROW()-2,12)/4)+1)</f>
        <v>Tier 1</v>
      </c>
      <c r="D17">
        <v>104</v>
      </c>
      <c r="E17">
        <v>8769</v>
      </c>
      <c r="F17">
        <v>15</v>
      </c>
      <c r="G17">
        <v>12</v>
      </c>
      <c r="H17" s="6">
        <v>0.35</v>
      </c>
      <c r="N17" s="2">
        <v>45383</v>
      </c>
    </row>
    <row r="18" spans="1:14" x14ac:dyDescent="0.2">
      <c r="A18" s="3">
        <f t="shared" si="0"/>
        <v>44958</v>
      </c>
      <c r="B18" t="str" cm="1">
        <f t="array" ref="B18">INDEX($J$2:$J$5, MOD(ROW()-2,4)+1)</f>
        <v>Louis Vuitton</v>
      </c>
      <c r="C18" t="str" cm="1">
        <f t="array" ref="C18">INDEX($L$2:$L$4, INT(MOD(ROW()-2,12)/4)+1)</f>
        <v>New Tier 1</v>
      </c>
      <c r="D18">
        <v>145</v>
      </c>
      <c r="E18">
        <v>13613</v>
      </c>
      <c r="F18">
        <v>30</v>
      </c>
      <c r="G18">
        <v>11</v>
      </c>
      <c r="H18" s="6">
        <v>0.36</v>
      </c>
      <c r="N18" s="1">
        <v>45413</v>
      </c>
    </row>
    <row r="19" spans="1:14" x14ac:dyDescent="0.2">
      <c r="A19" s="3">
        <f t="shared" si="0"/>
        <v>44958</v>
      </c>
      <c r="B19" t="str" cm="1">
        <f t="array" ref="B19">INDEX($J$2:$J$5, MOD(ROW()-2,4)+1)</f>
        <v>Dior</v>
      </c>
      <c r="C19" t="str" cm="1">
        <f t="array" ref="C19">INDEX($L$2:$L$4, INT(MOD(ROW()-2,12)/4)+1)</f>
        <v>New Tier 1</v>
      </c>
      <c r="D19">
        <v>114</v>
      </c>
      <c r="E19">
        <v>10040</v>
      </c>
      <c r="F19">
        <v>20</v>
      </c>
      <c r="G19">
        <v>11</v>
      </c>
      <c r="H19" s="6">
        <v>0.37</v>
      </c>
      <c r="N19" s="2">
        <v>45444</v>
      </c>
    </row>
    <row r="20" spans="1:14" x14ac:dyDescent="0.2">
      <c r="A20" s="3">
        <f t="shared" si="0"/>
        <v>44958</v>
      </c>
      <c r="B20" t="str" cm="1">
        <f t="array" ref="B20">INDEX($J$2:$J$5, MOD(ROW()-2,4)+1)</f>
        <v>Gucci</v>
      </c>
      <c r="C20" t="str" cm="1">
        <f t="array" ref="C20">INDEX($L$2:$L$4, INT(MOD(ROW()-2,12)/4)+1)</f>
        <v>New Tier 1</v>
      </c>
      <c r="D20">
        <v>104</v>
      </c>
      <c r="E20">
        <v>8820</v>
      </c>
      <c r="F20">
        <v>16</v>
      </c>
      <c r="G20">
        <v>12</v>
      </c>
      <c r="H20" s="6">
        <v>0.45</v>
      </c>
      <c r="N20" s="1">
        <v>45474</v>
      </c>
    </row>
    <row r="21" spans="1:14" x14ac:dyDescent="0.2">
      <c r="A21" s="3">
        <f t="shared" si="0"/>
        <v>44958</v>
      </c>
      <c r="B21" t="str" cm="1">
        <f t="array" ref="B21">INDEX($J$2:$J$5, MOD(ROW()-2,4)+1)</f>
        <v>Chanel</v>
      </c>
      <c r="C21" t="str" cm="1">
        <f t="array" ref="C21">INDEX($L$2:$L$4, INT(MOD(ROW()-2,12)/4)+1)</f>
        <v>New Tier 1</v>
      </c>
      <c r="D21">
        <v>85</v>
      </c>
      <c r="E21">
        <v>8395</v>
      </c>
      <c r="F21">
        <v>12</v>
      </c>
      <c r="G21">
        <v>10</v>
      </c>
      <c r="H21" s="6">
        <v>0.34</v>
      </c>
      <c r="N21" s="2">
        <v>45505</v>
      </c>
    </row>
    <row r="22" spans="1:14" x14ac:dyDescent="0.2">
      <c r="A22" s="3">
        <f t="shared" si="0"/>
        <v>44958</v>
      </c>
      <c r="B22" t="str" cm="1">
        <f t="array" ref="B22">INDEX($J$2:$J$5, MOD(ROW()-2,4)+1)</f>
        <v>Louis Vuitton</v>
      </c>
      <c r="C22" t="str" cm="1">
        <f t="array" ref="C22">INDEX($L$2:$L$4, INT(MOD(ROW()-2,12)/4)+1)</f>
        <v>Tier 2</v>
      </c>
      <c r="D22">
        <v>98</v>
      </c>
      <c r="E22">
        <v>11844</v>
      </c>
      <c r="F22">
        <v>16</v>
      </c>
      <c r="G22">
        <v>8</v>
      </c>
      <c r="H22" s="6">
        <v>0.47</v>
      </c>
      <c r="N22" s="1">
        <v>45536</v>
      </c>
    </row>
    <row r="23" spans="1:14" x14ac:dyDescent="0.2">
      <c r="A23" s="3">
        <f t="shared" si="0"/>
        <v>44958</v>
      </c>
      <c r="B23" t="str" cm="1">
        <f t="array" ref="B23">INDEX($J$2:$J$5, MOD(ROW()-2,4)+1)</f>
        <v>Dior</v>
      </c>
      <c r="C23" t="str" cm="1">
        <f t="array" ref="C23">INDEX($L$2:$L$4, INT(MOD(ROW()-2,12)/4)+1)</f>
        <v>Tier 2</v>
      </c>
      <c r="D23">
        <v>83</v>
      </c>
      <c r="E23">
        <v>9693</v>
      </c>
      <c r="F23">
        <v>13</v>
      </c>
      <c r="G23">
        <v>9</v>
      </c>
      <c r="H23" s="6">
        <v>0.33</v>
      </c>
      <c r="N23" s="2">
        <v>45566</v>
      </c>
    </row>
    <row r="24" spans="1:14" x14ac:dyDescent="0.2">
      <c r="A24" s="3">
        <f t="shared" si="0"/>
        <v>44958</v>
      </c>
      <c r="B24" t="str" cm="1">
        <f t="array" ref="B24">INDEX($J$2:$J$5, MOD(ROW()-2,4)+1)</f>
        <v>Gucci</v>
      </c>
      <c r="C24" t="str" cm="1">
        <f t="array" ref="C24">INDEX($L$2:$L$4, INT(MOD(ROW()-2,12)/4)+1)</f>
        <v>Tier 2</v>
      </c>
      <c r="D24">
        <v>73</v>
      </c>
      <c r="E24">
        <v>7843</v>
      </c>
      <c r="F24">
        <v>11</v>
      </c>
      <c r="G24">
        <v>9</v>
      </c>
      <c r="H24" s="6">
        <v>0.47</v>
      </c>
      <c r="N24" s="1">
        <v>45597</v>
      </c>
    </row>
    <row r="25" spans="1:14" x14ac:dyDescent="0.2">
      <c r="A25" s="3">
        <f t="shared" si="0"/>
        <v>44958</v>
      </c>
      <c r="B25" t="str" cm="1">
        <f t="array" ref="B25">INDEX($J$2:$J$5, MOD(ROW()-2,4)+1)</f>
        <v>Chanel</v>
      </c>
      <c r="C25" t="str" cm="1">
        <f t="array" ref="C25">INDEX($L$2:$L$4, INT(MOD(ROW()-2,12)/4)+1)</f>
        <v>Tier 2</v>
      </c>
      <c r="D25">
        <v>65</v>
      </c>
      <c r="E25">
        <v>7585</v>
      </c>
      <c r="F25">
        <v>8</v>
      </c>
      <c r="G25">
        <v>9</v>
      </c>
      <c r="H25" s="6">
        <v>0.32</v>
      </c>
      <c r="N25" s="2">
        <v>45627</v>
      </c>
    </row>
    <row r="26" spans="1:14" x14ac:dyDescent="0.2">
      <c r="A26" s="3">
        <f t="shared" si="0"/>
        <v>44986</v>
      </c>
      <c r="B26" t="str" cm="1">
        <f t="array" ref="B26">INDEX($J$2:$J$5, MOD(ROW()-2,4)+1)</f>
        <v>Louis Vuitton</v>
      </c>
      <c r="C26" t="str" cm="1">
        <f t="array" ref="C26">INDEX($L$2:$L$4, INT(MOD(ROW()-2,12)/4)+1)</f>
        <v>Tier 1</v>
      </c>
      <c r="D26">
        <v>183</v>
      </c>
      <c r="E26">
        <v>13868</v>
      </c>
      <c r="F26">
        <v>43</v>
      </c>
      <c r="G26">
        <v>13</v>
      </c>
      <c r="H26" s="6">
        <v>0.25</v>
      </c>
    </row>
    <row r="27" spans="1:14" x14ac:dyDescent="0.2">
      <c r="A27" s="3">
        <f t="shared" si="0"/>
        <v>44986</v>
      </c>
      <c r="B27" t="str" cm="1">
        <f t="array" ref="B27">INDEX($J$2:$J$5, MOD(ROW()-2,4)+1)</f>
        <v>Dior</v>
      </c>
      <c r="C27" t="str" cm="1">
        <f t="array" ref="C27">INDEX($L$2:$L$4, INT(MOD(ROW()-2,12)/4)+1)</f>
        <v>Tier 1</v>
      </c>
      <c r="D27">
        <v>131</v>
      </c>
      <c r="E27">
        <v>11095</v>
      </c>
      <c r="F27">
        <v>26</v>
      </c>
      <c r="G27">
        <v>12</v>
      </c>
      <c r="H27" s="6">
        <v>0.44</v>
      </c>
    </row>
    <row r="28" spans="1:14" x14ac:dyDescent="0.2">
      <c r="A28" s="3">
        <f t="shared" si="0"/>
        <v>44986</v>
      </c>
      <c r="B28" t="str" cm="1">
        <f t="array" ref="B28">INDEX($J$2:$J$5, MOD(ROW()-2,4)+1)</f>
        <v>Gucci</v>
      </c>
      <c r="C28" t="str" cm="1">
        <f t="array" ref="C28">INDEX($L$2:$L$4, INT(MOD(ROW()-2,12)/4)+1)</f>
        <v>Tier 1</v>
      </c>
      <c r="D28">
        <v>114</v>
      </c>
      <c r="E28">
        <v>9182</v>
      </c>
      <c r="F28">
        <v>19</v>
      </c>
      <c r="G28">
        <v>12</v>
      </c>
      <c r="H28" s="6">
        <v>0.46</v>
      </c>
    </row>
    <row r="29" spans="1:14" x14ac:dyDescent="0.2">
      <c r="A29" s="3">
        <f t="shared" si="0"/>
        <v>44986</v>
      </c>
      <c r="B29" t="str" cm="1">
        <f t="array" ref="B29">INDEX($J$2:$J$5, MOD(ROW()-2,4)+1)</f>
        <v>Chanel</v>
      </c>
      <c r="C29" t="str" cm="1">
        <f t="array" ref="C29">INDEX($L$2:$L$4, INT(MOD(ROW()-2,12)/4)+1)</f>
        <v>Tier 1</v>
      </c>
      <c r="D29">
        <v>94</v>
      </c>
      <c r="E29">
        <v>8374</v>
      </c>
      <c r="F29">
        <v>13</v>
      </c>
      <c r="G29">
        <v>11</v>
      </c>
      <c r="H29" s="6">
        <v>0.33</v>
      </c>
    </row>
    <row r="30" spans="1:14" x14ac:dyDescent="0.2">
      <c r="A30" s="3">
        <f t="shared" si="0"/>
        <v>44986</v>
      </c>
      <c r="B30" t="str" cm="1">
        <f t="array" ref="B30">INDEX($J$2:$J$5, MOD(ROW()-2,4)+1)</f>
        <v>Louis Vuitton</v>
      </c>
      <c r="C30" t="str" cm="1">
        <f t="array" ref="C30">INDEX($L$2:$L$4, INT(MOD(ROW()-2,12)/4)+1)</f>
        <v>New Tier 1</v>
      </c>
      <c r="D30">
        <v>158</v>
      </c>
      <c r="E30">
        <v>13173</v>
      </c>
      <c r="F30">
        <v>32</v>
      </c>
      <c r="G30">
        <v>12</v>
      </c>
      <c r="H30" s="6">
        <v>0.48</v>
      </c>
    </row>
    <row r="31" spans="1:14" x14ac:dyDescent="0.2">
      <c r="A31" s="3">
        <f t="shared" si="0"/>
        <v>44986</v>
      </c>
      <c r="B31" t="str" cm="1">
        <f t="array" ref="B31">INDEX($J$2:$J$5, MOD(ROW()-2,4)+1)</f>
        <v>Dior</v>
      </c>
      <c r="C31" t="str" cm="1">
        <f t="array" ref="C31">INDEX($L$2:$L$4, INT(MOD(ROW()-2,12)/4)+1)</f>
        <v>New Tier 1</v>
      </c>
      <c r="D31">
        <v>117</v>
      </c>
      <c r="E31">
        <v>10103</v>
      </c>
      <c r="F31">
        <v>21</v>
      </c>
      <c r="G31">
        <v>12</v>
      </c>
      <c r="H31" s="6">
        <v>0.48</v>
      </c>
    </row>
    <row r="32" spans="1:14" x14ac:dyDescent="0.2">
      <c r="A32" s="3">
        <f t="shared" si="0"/>
        <v>44986</v>
      </c>
      <c r="B32" t="str" cm="1">
        <f t="array" ref="B32">INDEX($J$2:$J$5, MOD(ROW()-2,4)+1)</f>
        <v>Gucci</v>
      </c>
      <c r="C32" t="str" cm="1">
        <f t="array" ref="C32">INDEX($L$2:$L$4, INT(MOD(ROW()-2,12)/4)+1)</f>
        <v>New Tier 1</v>
      </c>
      <c r="D32">
        <v>104</v>
      </c>
      <c r="E32">
        <v>8858</v>
      </c>
      <c r="F32">
        <v>16</v>
      </c>
      <c r="G32">
        <v>12</v>
      </c>
      <c r="H32" s="6">
        <v>0.22</v>
      </c>
    </row>
    <row r="33" spans="1:8" x14ac:dyDescent="0.2">
      <c r="A33" s="3">
        <f t="shared" si="0"/>
        <v>44986</v>
      </c>
      <c r="B33" t="str" cm="1">
        <f t="array" ref="B33">INDEX($J$2:$J$5, MOD(ROW()-2,4)+1)</f>
        <v>Chanel</v>
      </c>
      <c r="C33" t="str" cm="1">
        <f t="array" ref="C33">INDEX($L$2:$L$4, INT(MOD(ROW()-2,12)/4)+1)</f>
        <v>New Tier 1</v>
      </c>
      <c r="D33">
        <v>89</v>
      </c>
      <c r="E33">
        <v>8016</v>
      </c>
      <c r="F33">
        <v>12</v>
      </c>
      <c r="G33">
        <v>11</v>
      </c>
      <c r="H33" s="6">
        <v>0.41</v>
      </c>
    </row>
    <row r="34" spans="1:8" x14ac:dyDescent="0.2">
      <c r="A34" s="3">
        <f t="shared" si="0"/>
        <v>44986</v>
      </c>
      <c r="B34" t="str" cm="1">
        <f t="array" ref="B34">INDEX($J$2:$J$5, MOD(ROW()-2,4)+1)</f>
        <v>Louis Vuitton</v>
      </c>
      <c r="C34" t="str" cm="1">
        <f t="array" ref="C34">INDEX($L$2:$L$4, INT(MOD(ROW()-2,12)/4)+1)</f>
        <v>Tier 2</v>
      </c>
      <c r="D34">
        <v>105</v>
      </c>
      <c r="E34">
        <v>12493</v>
      </c>
      <c r="F34">
        <v>18</v>
      </c>
      <c r="G34">
        <v>8</v>
      </c>
      <c r="H34" s="6">
        <v>0.22</v>
      </c>
    </row>
    <row r="35" spans="1:8" x14ac:dyDescent="0.2">
      <c r="A35" s="3">
        <f t="shared" si="0"/>
        <v>44986</v>
      </c>
      <c r="B35" t="str" cm="1">
        <f t="array" ref="B35">INDEX($J$2:$J$5, MOD(ROW()-2,4)+1)</f>
        <v>Dior</v>
      </c>
      <c r="C35" t="str" cm="1">
        <f t="array" ref="C35">INDEX($L$2:$L$4, INT(MOD(ROW()-2,12)/4)+1)</f>
        <v>Tier 2</v>
      </c>
      <c r="D35">
        <v>82</v>
      </c>
      <c r="E35">
        <v>9210</v>
      </c>
      <c r="F35">
        <v>13</v>
      </c>
      <c r="G35">
        <v>9</v>
      </c>
      <c r="H35" s="6">
        <v>0.24</v>
      </c>
    </row>
    <row r="36" spans="1:8" x14ac:dyDescent="0.2">
      <c r="A36" s="3">
        <f t="shared" si="0"/>
        <v>44986</v>
      </c>
      <c r="B36" t="str" cm="1">
        <f t="array" ref="B36">INDEX($J$2:$J$5, MOD(ROW()-2,4)+1)</f>
        <v>Gucci</v>
      </c>
      <c r="C36" t="str" cm="1">
        <f t="array" ref="C36">INDEX($L$2:$L$4, INT(MOD(ROW()-2,12)/4)+1)</f>
        <v>Tier 2</v>
      </c>
      <c r="D36">
        <v>68</v>
      </c>
      <c r="E36">
        <v>7961</v>
      </c>
      <c r="F36">
        <v>9</v>
      </c>
      <c r="G36">
        <v>9</v>
      </c>
      <c r="H36" s="6">
        <v>0.26</v>
      </c>
    </row>
    <row r="37" spans="1:8" x14ac:dyDescent="0.2">
      <c r="A37" s="3">
        <f t="shared" si="0"/>
        <v>44986</v>
      </c>
      <c r="B37" t="str" cm="1">
        <f t="array" ref="B37">INDEX($J$2:$J$5, MOD(ROW()-2,4)+1)</f>
        <v>Chanel</v>
      </c>
      <c r="C37" t="str" cm="1">
        <f t="array" ref="C37">INDEX($L$2:$L$4, INT(MOD(ROW()-2,12)/4)+1)</f>
        <v>Tier 2</v>
      </c>
      <c r="D37">
        <v>57</v>
      </c>
      <c r="E37">
        <v>7614</v>
      </c>
      <c r="F37">
        <v>7</v>
      </c>
      <c r="G37">
        <v>7</v>
      </c>
      <c r="H37" s="6">
        <v>0.41</v>
      </c>
    </row>
    <row r="38" spans="1:8" x14ac:dyDescent="0.2">
      <c r="A38" s="3">
        <f t="shared" si="0"/>
        <v>45017</v>
      </c>
      <c r="B38" t="str" cm="1">
        <f t="array" ref="B38">INDEX($J$2:$J$5, MOD(ROW()-2,4)+1)</f>
        <v>Louis Vuitton</v>
      </c>
      <c r="C38" t="str" cm="1">
        <f t="array" ref="C38">INDEX($L$2:$L$4, INT(MOD(ROW()-2,12)/4)+1)</f>
        <v>Tier 1</v>
      </c>
      <c r="D38">
        <v>175</v>
      </c>
      <c r="E38">
        <v>13325</v>
      </c>
      <c r="F38">
        <v>41</v>
      </c>
      <c r="G38">
        <v>13</v>
      </c>
      <c r="H38" s="6">
        <v>0.38</v>
      </c>
    </row>
    <row r="39" spans="1:8" x14ac:dyDescent="0.2">
      <c r="A39" s="3">
        <f t="shared" si="0"/>
        <v>45017</v>
      </c>
      <c r="B39" t="str" cm="1">
        <f t="array" ref="B39">INDEX($J$2:$J$5, MOD(ROW()-2,4)+1)</f>
        <v>Dior</v>
      </c>
      <c r="C39" t="str" cm="1">
        <f t="array" ref="C39">INDEX($L$2:$L$4, INT(MOD(ROW()-2,12)/4)+1)</f>
        <v>Tier 1</v>
      </c>
      <c r="D39">
        <v>136</v>
      </c>
      <c r="E39">
        <v>10726</v>
      </c>
      <c r="F39">
        <v>26</v>
      </c>
      <c r="G39">
        <v>13</v>
      </c>
      <c r="H39" s="6">
        <v>0.5</v>
      </c>
    </row>
    <row r="40" spans="1:8" x14ac:dyDescent="0.2">
      <c r="A40" s="3">
        <f t="shared" si="0"/>
        <v>45017</v>
      </c>
      <c r="B40" t="str" cm="1">
        <f t="array" ref="B40">INDEX($J$2:$J$5, MOD(ROW()-2,4)+1)</f>
        <v>Gucci</v>
      </c>
      <c r="C40" t="str" cm="1">
        <f t="array" ref="C40">INDEX($L$2:$L$4, INT(MOD(ROW()-2,12)/4)+1)</f>
        <v>Tier 1</v>
      </c>
      <c r="D40">
        <v>111</v>
      </c>
      <c r="E40">
        <v>9498</v>
      </c>
      <c r="F40">
        <v>19</v>
      </c>
      <c r="G40">
        <v>12</v>
      </c>
      <c r="H40" s="6">
        <v>0.21</v>
      </c>
    </row>
    <row r="41" spans="1:8" x14ac:dyDescent="0.2">
      <c r="A41" s="3">
        <f t="shared" si="0"/>
        <v>45017</v>
      </c>
      <c r="B41" t="str" cm="1">
        <f t="array" ref="B41">INDEX($J$2:$J$5, MOD(ROW()-2,4)+1)</f>
        <v>Chanel</v>
      </c>
      <c r="C41" t="str" cm="1">
        <f t="array" ref="C41">INDEX($L$2:$L$4, INT(MOD(ROW()-2,12)/4)+1)</f>
        <v>Tier 1</v>
      </c>
      <c r="D41">
        <v>100</v>
      </c>
      <c r="E41">
        <v>8762</v>
      </c>
      <c r="F41">
        <v>15</v>
      </c>
      <c r="G41">
        <v>11</v>
      </c>
      <c r="H41" s="6">
        <v>0.48</v>
      </c>
    </row>
    <row r="42" spans="1:8" x14ac:dyDescent="0.2">
      <c r="A42" s="3">
        <f t="shared" si="0"/>
        <v>45017</v>
      </c>
      <c r="B42" t="str" cm="1">
        <f t="array" ref="B42">INDEX($J$2:$J$5, MOD(ROW()-2,4)+1)</f>
        <v>Louis Vuitton</v>
      </c>
      <c r="C42" t="str" cm="1">
        <f t="array" ref="C42">INDEX($L$2:$L$4, INT(MOD(ROW()-2,12)/4)+1)</f>
        <v>New Tier 1</v>
      </c>
      <c r="D42">
        <v>139</v>
      </c>
      <c r="E42">
        <v>12917</v>
      </c>
      <c r="F42">
        <v>27</v>
      </c>
      <c r="G42">
        <v>11</v>
      </c>
      <c r="H42" s="6">
        <v>0.5</v>
      </c>
    </row>
    <row r="43" spans="1:8" x14ac:dyDescent="0.2">
      <c r="A43" s="3">
        <f t="shared" si="0"/>
        <v>45017</v>
      </c>
      <c r="B43" t="str" cm="1">
        <f t="array" ref="B43">INDEX($J$2:$J$5, MOD(ROW()-2,4)+1)</f>
        <v>Dior</v>
      </c>
      <c r="C43" t="str" cm="1">
        <f t="array" ref="C43">INDEX($L$2:$L$4, INT(MOD(ROW()-2,12)/4)+1)</f>
        <v>New Tier 1</v>
      </c>
      <c r="D43">
        <v>100</v>
      </c>
      <c r="E43">
        <v>10292</v>
      </c>
      <c r="F43">
        <v>19</v>
      </c>
      <c r="G43">
        <v>10</v>
      </c>
      <c r="H43" s="6">
        <v>0.45</v>
      </c>
    </row>
    <row r="44" spans="1:8" x14ac:dyDescent="0.2">
      <c r="A44" s="3">
        <f t="shared" si="0"/>
        <v>45017</v>
      </c>
      <c r="B44" t="str" cm="1">
        <f t="array" ref="B44">INDEX($J$2:$J$5, MOD(ROW()-2,4)+1)</f>
        <v>Gucci</v>
      </c>
      <c r="C44" t="str" cm="1">
        <f t="array" ref="C44">INDEX($L$2:$L$4, INT(MOD(ROW()-2,12)/4)+1)</f>
        <v>New Tier 1</v>
      </c>
      <c r="D44">
        <v>94</v>
      </c>
      <c r="E44">
        <v>9135</v>
      </c>
      <c r="F44">
        <v>15</v>
      </c>
      <c r="G44">
        <v>10</v>
      </c>
      <c r="H44" s="6">
        <v>0.39</v>
      </c>
    </row>
    <row r="45" spans="1:8" x14ac:dyDescent="0.2">
      <c r="A45" s="3">
        <f t="shared" si="0"/>
        <v>45017</v>
      </c>
      <c r="B45" t="str" cm="1">
        <f t="array" ref="B45">INDEX($J$2:$J$5, MOD(ROW()-2,4)+1)</f>
        <v>Chanel</v>
      </c>
      <c r="C45" t="str" cm="1">
        <f t="array" ref="C45">INDEX($L$2:$L$4, INT(MOD(ROW()-2,12)/4)+1)</f>
        <v>New Tier 1</v>
      </c>
      <c r="D45">
        <v>81</v>
      </c>
      <c r="E45">
        <v>7938</v>
      </c>
      <c r="F45">
        <v>10</v>
      </c>
      <c r="G45">
        <v>10</v>
      </c>
      <c r="H45" s="6">
        <v>0.36</v>
      </c>
    </row>
    <row r="46" spans="1:8" x14ac:dyDescent="0.2">
      <c r="A46" s="3">
        <f t="shared" si="0"/>
        <v>45017</v>
      </c>
      <c r="B46" t="str" cm="1">
        <f t="array" ref="B46">INDEX($J$2:$J$5, MOD(ROW()-2,4)+1)</f>
        <v>Louis Vuitton</v>
      </c>
      <c r="C46" t="str" cm="1">
        <f t="array" ref="C46">INDEX($L$2:$L$4, INT(MOD(ROW()-2,12)/4)+1)</f>
        <v>Tier 2</v>
      </c>
      <c r="D46">
        <v>115</v>
      </c>
      <c r="E46">
        <v>12441</v>
      </c>
      <c r="F46">
        <v>19</v>
      </c>
      <c r="G46">
        <v>9</v>
      </c>
      <c r="H46" s="6">
        <v>0.49</v>
      </c>
    </row>
    <row r="47" spans="1:8" x14ac:dyDescent="0.2">
      <c r="A47" s="3">
        <f t="shared" si="0"/>
        <v>45017</v>
      </c>
      <c r="B47" t="str" cm="1">
        <f t="array" ref="B47">INDEX($J$2:$J$5, MOD(ROW()-2,4)+1)</f>
        <v>Dior</v>
      </c>
      <c r="C47" t="str" cm="1">
        <f t="array" ref="C47">INDEX($L$2:$L$4, INT(MOD(ROW()-2,12)/4)+1)</f>
        <v>Tier 2</v>
      </c>
      <c r="D47">
        <v>80</v>
      </c>
      <c r="E47">
        <v>9190</v>
      </c>
      <c r="F47">
        <v>12</v>
      </c>
      <c r="G47">
        <v>9</v>
      </c>
      <c r="H47" s="6">
        <v>0.26</v>
      </c>
    </row>
    <row r="48" spans="1:8" x14ac:dyDescent="0.2">
      <c r="A48" s="3">
        <f t="shared" si="0"/>
        <v>45017</v>
      </c>
      <c r="B48" t="str" cm="1">
        <f t="array" ref="B48">INDEX($J$2:$J$5, MOD(ROW()-2,4)+1)</f>
        <v>Gucci</v>
      </c>
      <c r="C48" t="str" cm="1">
        <f t="array" ref="C48">INDEX($L$2:$L$4, INT(MOD(ROW()-2,12)/4)+1)</f>
        <v>Tier 2</v>
      </c>
      <c r="D48">
        <v>67</v>
      </c>
      <c r="E48">
        <v>7629</v>
      </c>
      <c r="F48">
        <v>9</v>
      </c>
      <c r="G48">
        <v>9</v>
      </c>
      <c r="H48" s="6">
        <v>0.46</v>
      </c>
    </row>
    <row r="49" spans="1:8" x14ac:dyDescent="0.2">
      <c r="A49" s="3">
        <f t="shared" si="0"/>
        <v>45017</v>
      </c>
      <c r="B49" t="str" cm="1">
        <f t="array" ref="B49">INDEX($J$2:$J$5, MOD(ROW()-2,4)+1)</f>
        <v>Chanel</v>
      </c>
      <c r="C49" t="str" cm="1">
        <f t="array" ref="C49">INDEX($L$2:$L$4, INT(MOD(ROW()-2,12)/4)+1)</f>
        <v>Tier 2</v>
      </c>
      <c r="D49">
        <v>60</v>
      </c>
      <c r="E49">
        <v>7199</v>
      </c>
      <c r="F49">
        <v>7</v>
      </c>
      <c r="G49">
        <v>8</v>
      </c>
      <c r="H49" s="6">
        <v>0.46</v>
      </c>
    </row>
    <row r="50" spans="1:8" x14ac:dyDescent="0.2">
      <c r="A50" s="3">
        <f t="shared" si="0"/>
        <v>45047</v>
      </c>
      <c r="B50" t="str" cm="1">
        <f t="array" ref="B50">INDEX($J$2:$J$5, MOD(ROW()-2,4)+1)</f>
        <v>Louis Vuitton</v>
      </c>
      <c r="C50" t="str" cm="1">
        <f t="array" ref="C50">INDEX($L$2:$L$4, INT(MOD(ROW()-2,12)/4)+1)</f>
        <v>Tier 1</v>
      </c>
      <c r="D50">
        <v>185</v>
      </c>
      <c r="E50">
        <v>13722</v>
      </c>
      <c r="F50">
        <v>41</v>
      </c>
      <c r="G50">
        <v>13</v>
      </c>
      <c r="H50" s="6">
        <v>0.23</v>
      </c>
    </row>
    <row r="51" spans="1:8" x14ac:dyDescent="0.2">
      <c r="A51" s="3">
        <f t="shared" si="0"/>
        <v>45047</v>
      </c>
      <c r="B51" t="str" cm="1">
        <f t="array" ref="B51">INDEX($J$2:$J$5, MOD(ROW()-2,4)+1)</f>
        <v>Dior</v>
      </c>
      <c r="C51" t="str" cm="1">
        <f t="array" ref="C51">INDEX($L$2:$L$4, INT(MOD(ROW()-2,12)/4)+1)</f>
        <v>Tier 1</v>
      </c>
      <c r="D51">
        <v>135</v>
      </c>
      <c r="E51">
        <v>10775</v>
      </c>
      <c r="F51">
        <v>25</v>
      </c>
      <c r="G51">
        <v>13</v>
      </c>
      <c r="H51" s="6">
        <v>0.37</v>
      </c>
    </row>
    <row r="52" spans="1:8" x14ac:dyDescent="0.2">
      <c r="A52" s="3">
        <f t="shared" si="0"/>
        <v>45047</v>
      </c>
      <c r="B52" t="str" cm="1">
        <f t="array" ref="B52">INDEX($J$2:$J$5, MOD(ROW()-2,4)+1)</f>
        <v>Gucci</v>
      </c>
      <c r="C52" t="str" cm="1">
        <f t="array" ref="C52">INDEX($L$2:$L$4, INT(MOD(ROW()-2,12)/4)+1)</f>
        <v>Tier 1</v>
      </c>
      <c r="D52">
        <v>121</v>
      </c>
      <c r="E52">
        <v>9486</v>
      </c>
      <c r="F52">
        <v>22</v>
      </c>
      <c r="G52">
        <v>13</v>
      </c>
      <c r="H52" s="6">
        <v>0.24</v>
      </c>
    </row>
    <row r="53" spans="1:8" x14ac:dyDescent="0.2">
      <c r="A53" s="3">
        <f t="shared" si="0"/>
        <v>45047</v>
      </c>
      <c r="B53" t="str" cm="1">
        <f t="array" ref="B53">INDEX($J$2:$J$5, MOD(ROW()-2,4)+1)</f>
        <v>Chanel</v>
      </c>
      <c r="C53" t="str" cm="1">
        <f t="array" ref="C53">INDEX($L$2:$L$4, INT(MOD(ROW()-2,12)/4)+1)</f>
        <v>Tier 1</v>
      </c>
      <c r="D53">
        <v>106</v>
      </c>
      <c r="E53">
        <v>8787</v>
      </c>
      <c r="F53">
        <v>15</v>
      </c>
      <c r="G53">
        <v>12</v>
      </c>
      <c r="H53" s="6">
        <v>0.23</v>
      </c>
    </row>
    <row r="54" spans="1:8" x14ac:dyDescent="0.2">
      <c r="A54" s="3">
        <f t="shared" si="0"/>
        <v>45047</v>
      </c>
      <c r="B54" t="str" cm="1">
        <f t="array" ref="B54">INDEX($J$2:$J$5, MOD(ROW()-2,4)+1)</f>
        <v>Louis Vuitton</v>
      </c>
      <c r="C54" t="str" cm="1">
        <f t="array" ref="C54">INDEX($L$2:$L$4, INT(MOD(ROW()-2,12)/4)+1)</f>
        <v>New Tier 1</v>
      </c>
      <c r="D54">
        <v>144</v>
      </c>
      <c r="E54">
        <v>12856</v>
      </c>
      <c r="F54">
        <v>31</v>
      </c>
      <c r="G54">
        <v>11</v>
      </c>
      <c r="H54" s="6">
        <v>0.35</v>
      </c>
    </row>
    <row r="55" spans="1:8" x14ac:dyDescent="0.2">
      <c r="A55" s="3">
        <f t="shared" si="0"/>
        <v>45047</v>
      </c>
      <c r="B55" t="str" cm="1">
        <f t="array" ref="B55">INDEX($J$2:$J$5, MOD(ROW()-2,4)+1)</f>
        <v>Dior</v>
      </c>
      <c r="C55" t="str" cm="1">
        <f t="array" ref="C55">INDEX($L$2:$L$4, INT(MOD(ROW()-2,12)/4)+1)</f>
        <v>New Tier 1</v>
      </c>
      <c r="D55">
        <v>118</v>
      </c>
      <c r="E55">
        <v>10300</v>
      </c>
      <c r="F55">
        <v>21</v>
      </c>
      <c r="G55">
        <v>11</v>
      </c>
      <c r="H55" s="6">
        <v>0.25</v>
      </c>
    </row>
    <row r="56" spans="1:8" x14ac:dyDescent="0.2">
      <c r="A56" s="3">
        <f t="shared" si="0"/>
        <v>45047</v>
      </c>
      <c r="B56" t="str" cm="1">
        <f t="array" ref="B56">INDEX($J$2:$J$5, MOD(ROW()-2,4)+1)</f>
        <v>Gucci</v>
      </c>
      <c r="C56" t="str" cm="1">
        <f t="array" ref="C56">INDEX($L$2:$L$4, INT(MOD(ROW()-2,12)/4)+1)</f>
        <v>New Tier 1</v>
      </c>
      <c r="D56">
        <v>100</v>
      </c>
      <c r="E56">
        <v>9055</v>
      </c>
      <c r="F56">
        <v>16</v>
      </c>
      <c r="G56">
        <v>11</v>
      </c>
      <c r="H56" s="6">
        <v>0.28000000000000003</v>
      </c>
    </row>
    <row r="57" spans="1:8" x14ac:dyDescent="0.2">
      <c r="A57" s="3">
        <f t="shared" si="0"/>
        <v>45047</v>
      </c>
      <c r="B57" t="str" cm="1">
        <f t="array" ref="B57">INDEX($J$2:$J$5, MOD(ROW()-2,4)+1)</f>
        <v>Chanel</v>
      </c>
      <c r="C57" t="str" cm="1">
        <f t="array" ref="C57">INDEX($L$2:$L$4, INT(MOD(ROW()-2,12)/4)+1)</f>
        <v>New Tier 1</v>
      </c>
      <c r="D57">
        <v>77</v>
      </c>
      <c r="E57">
        <v>8041</v>
      </c>
      <c r="F57">
        <v>10</v>
      </c>
      <c r="G57">
        <v>10</v>
      </c>
      <c r="H57" s="6">
        <v>0.34</v>
      </c>
    </row>
    <row r="58" spans="1:8" x14ac:dyDescent="0.2">
      <c r="A58" s="3">
        <f t="shared" si="0"/>
        <v>45047</v>
      </c>
      <c r="B58" t="str" cm="1">
        <f t="array" ref="B58">INDEX($J$2:$J$5, MOD(ROW()-2,4)+1)</f>
        <v>Louis Vuitton</v>
      </c>
      <c r="C58" t="str" cm="1">
        <f t="array" ref="C58">INDEX($L$2:$L$4, INT(MOD(ROW()-2,12)/4)+1)</f>
        <v>Tier 2</v>
      </c>
      <c r="D58">
        <v>101</v>
      </c>
      <c r="E58">
        <v>12217</v>
      </c>
      <c r="F58">
        <v>17</v>
      </c>
      <c r="G58">
        <v>8</v>
      </c>
      <c r="H58" s="6">
        <v>0.37</v>
      </c>
    </row>
    <row r="59" spans="1:8" x14ac:dyDescent="0.2">
      <c r="A59" s="3">
        <f t="shared" si="0"/>
        <v>45047</v>
      </c>
      <c r="B59" t="str" cm="1">
        <f t="array" ref="B59">INDEX($J$2:$J$5, MOD(ROW()-2,4)+1)</f>
        <v>Dior</v>
      </c>
      <c r="C59" t="str" cm="1">
        <f t="array" ref="C59">INDEX($L$2:$L$4, INT(MOD(ROW()-2,12)/4)+1)</f>
        <v>Tier 2</v>
      </c>
      <c r="D59">
        <v>75</v>
      </c>
      <c r="E59">
        <v>9754</v>
      </c>
      <c r="F59">
        <v>11</v>
      </c>
      <c r="G59">
        <v>8</v>
      </c>
      <c r="H59" s="6">
        <v>0.3</v>
      </c>
    </row>
    <row r="60" spans="1:8" x14ac:dyDescent="0.2">
      <c r="A60" s="3">
        <f t="shared" si="0"/>
        <v>45047</v>
      </c>
      <c r="B60" t="str" cm="1">
        <f t="array" ref="B60">INDEX($J$2:$J$5, MOD(ROW()-2,4)+1)</f>
        <v>Gucci</v>
      </c>
      <c r="C60" t="str" cm="1">
        <f t="array" ref="C60">INDEX($L$2:$L$4, INT(MOD(ROW()-2,12)/4)+1)</f>
        <v>Tier 2</v>
      </c>
      <c r="D60">
        <v>69</v>
      </c>
      <c r="E60">
        <v>8080</v>
      </c>
      <c r="F60">
        <v>9</v>
      </c>
      <c r="G60">
        <v>9</v>
      </c>
      <c r="H60" s="6">
        <v>0.48</v>
      </c>
    </row>
    <row r="61" spans="1:8" x14ac:dyDescent="0.2">
      <c r="A61" s="3">
        <f t="shared" si="0"/>
        <v>45047</v>
      </c>
      <c r="B61" t="str" cm="1">
        <f t="array" ref="B61">INDEX($J$2:$J$5, MOD(ROW()-2,4)+1)</f>
        <v>Chanel</v>
      </c>
      <c r="C61" t="str" cm="1">
        <f t="array" ref="C61">INDEX($L$2:$L$4, INT(MOD(ROW()-2,12)/4)+1)</f>
        <v>Tier 2</v>
      </c>
      <c r="D61">
        <v>64</v>
      </c>
      <c r="E61">
        <v>7772</v>
      </c>
      <c r="F61">
        <v>7</v>
      </c>
      <c r="G61">
        <v>8</v>
      </c>
      <c r="H61" s="6">
        <v>0.36</v>
      </c>
    </row>
    <row r="62" spans="1:8" x14ac:dyDescent="0.2">
      <c r="A62" s="3">
        <f t="shared" si="0"/>
        <v>45078</v>
      </c>
      <c r="B62" t="str" cm="1">
        <f t="array" ref="B62">INDEX($J$2:$J$5, MOD(ROW()-2,4)+1)</f>
        <v>Louis Vuitton</v>
      </c>
      <c r="C62" t="str" cm="1">
        <f t="array" ref="C62">INDEX($L$2:$L$4, INT(MOD(ROW()-2,12)/4)+1)</f>
        <v>Tier 1</v>
      </c>
      <c r="D62">
        <v>184</v>
      </c>
      <c r="E62">
        <v>14025</v>
      </c>
      <c r="F62">
        <v>39</v>
      </c>
      <c r="G62">
        <v>13</v>
      </c>
      <c r="H62" s="6">
        <v>0.41</v>
      </c>
    </row>
    <row r="63" spans="1:8" x14ac:dyDescent="0.2">
      <c r="A63" s="3">
        <f t="shared" si="0"/>
        <v>45078</v>
      </c>
      <c r="B63" t="str" cm="1">
        <f t="array" ref="B63">INDEX($J$2:$J$5, MOD(ROW()-2,4)+1)</f>
        <v>Dior</v>
      </c>
      <c r="C63" t="str" cm="1">
        <f t="array" ref="C63">INDEX($L$2:$L$4, INT(MOD(ROW()-2,12)/4)+1)</f>
        <v>Tier 1</v>
      </c>
      <c r="D63">
        <v>131</v>
      </c>
      <c r="E63">
        <v>10622</v>
      </c>
      <c r="F63">
        <v>26</v>
      </c>
      <c r="G63">
        <v>12</v>
      </c>
      <c r="H63" s="6">
        <v>0.43</v>
      </c>
    </row>
    <row r="64" spans="1:8" x14ac:dyDescent="0.2">
      <c r="A64" s="3">
        <f t="shared" si="0"/>
        <v>45078</v>
      </c>
      <c r="B64" t="str" cm="1">
        <f t="array" ref="B64">INDEX($J$2:$J$5, MOD(ROW()-2,4)+1)</f>
        <v>Gucci</v>
      </c>
      <c r="C64" t="str" cm="1">
        <f t="array" ref="C64">INDEX($L$2:$L$4, INT(MOD(ROW()-2,12)/4)+1)</f>
        <v>Tier 1</v>
      </c>
      <c r="D64">
        <v>114</v>
      </c>
      <c r="E64">
        <v>9131</v>
      </c>
      <c r="F64">
        <v>21</v>
      </c>
      <c r="G64">
        <v>12</v>
      </c>
      <c r="H64" s="6">
        <v>0.36</v>
      </c>
    </row>
    <row r="65" spans="1:8" x14ac:dyDescent="0.2">
      <c r="A65" s="3">
        <f t="shared" si="0"/>
        <v>45078</v>
      </c>
      <c r="B65" t="str" cm="1">
        <f t="array" ref="B65">INDEX($J$2:$J$5, MOD(ROW()-2,4)+1)</f>
        <v>Chanel</v>
      </c>
      <c r="C65" t="str" cm="1">
        <f t="array" ref="C65">INDEX($L$2:$L$4, INT(MOD(ROW()-2,12)/4)+1)</f>
        <v>Tier 1</v>
      </c>
      <c r="D65">
        <v>101</v>
      </c>
      <c r="E65">
        <v>8592</v>
      </c>
      <c r="F65">
        <v>15</v>
      </c>
      <c r="G65">
        <v>12</v>
      </c>
      <c r="H65" s="6">
        <v>0.22</v>
      </c>
    </row>
    <row r="66" spans="1:8" x14ac:dyDescent="0.2">
      <c r="A66" s="3">
        <f t="shared" ref="A66:A129" si="1">DATE(2023,1+INT((ROW()-2)/12),1)</f>
        <v>45078</v>
      </c>
      <c r="B66" t="str" cm="1">
        <f t="array" ref="B66">INDEX($J$2:$J$5, MOD(ROW()-2,4)+1)</f>
        <v>Louis Vuitton</v>
      </c>
      <c r="C66" t="str" cm="1">
        <f t="array" ref="C66">INDEX($L$2:$L$4, INT(MOD(ROW()-2,12)/4)+1)</f>
        <v>New Tier 1</v>
      </c>
      <c r="D66">
        <v>140</v>
      </c>
      <c r="E66">
        <v>13702</v>
      </c>
      <c r="F66">
        <v>27</v>
      </c>
      <c r="G66">
        <v>10</v>
      </c>
      <c r="H66" s="6">
        <v>0.4</v>
      </c>
    </row>
    <row r="67" spans="1:8" x14ac:dyDescent="0.2">
      <c r="A67" s="3">
        <f t="shared" si="1"/>
        <v>45078</v>
      </c>
      <c r="B67" t="str" cm="1">
        <f t="array" ref="B67">INDEX($J$2:$J$5, MOD(ROW()-2,4)+1)</f>
        <v>Dior</v>
      </c>
      <c r="C67" t="str" cm="1">
        <f t="array" ref="C67">INDEX($L$2:$L$4, INT(MOD(ROW()-2,12)/4)+1)</f>
        <v>New Tier 1</v>
      </c>
      <c r="D67">
        <v>116</v>
      </c>
      <c r="E67">
        <v>10434</v>
      </c>
      <c r="F67">
        <v>21</v>
      </c>
      <c r="G67">
        <v>11</v>
      </c>
      <c r="H67" s="6">
        <v>0.35</v>
      </c>
    </row>
    <row r="68" spans="1:8" x14ac:dyDescent="0.2">
      <c r="A68" s="3">
        <f t="shared" si="1"/>
        <v>45078</v>
      </c>
      <c r="B68" t="str" cm="1">
        <f t="array" ref="B68">INDEX($J$2:$J$5, MOD(ROW()-2,4)+1)</f>
        <v>Gucci</v>
      </c>
      <c r="C68" t="str" cm="1">
        <f t="array" ref="C68">INDEX($L$2:$L$4, INT(MOD(ROW()-2,12)/4)+1)</f>
        <v>New Tier 1</v>
      </c>
      <c r="D68">
        <v>103</v>
      </c>
      <c r="E68">
        <v>8721</v>
      </c>
      <c r="F68">
        <v>16</v>
      </c>
      <c r="G68">
        <v>12</v>
      </c>
      <c r="H68" s="6">
        <v>0.38</v>
      </c>
    </row>
    <row r="69" spans="1:8" x14ac:dyDescent="0.2">
      <c r="A69" s="3">
        <f t="shared" si="1"/>
        <v>45078</v>
      </c>
      <c r="B69" t="str" cm="1">
        <f t="array" ref="B69">INDEX($J$2:$J$5, MOD(ROW()-2,4)+1)</f>
        <v>Chanel</v>
      </c>
      <c r="C69" t="str" cm="1">
        <f t="array" ref="C69">INDEX($L$2:$L$4, INT(MOD(ROW()-2,12)/4)+1)</f>
        <v>New Tier 1</v>
      </c>
      <c r="D69">
        <v>90</v>
      </c>
      <c r="E69">
        <v>8109</v>
      </c>
      <c r="F69">
        <v>12</v>
      </c>
      <c r="G69">
        <v>11</v>
      </c>
      <c r="H69" s="6">
        <v>0.26</v>
      </c>
    </row>
    <row r="70" spans="1:8" x14ac:dyDescent="0.2">
      <c r="A70" s="3">
        <f t="shared" si="1"/>
        <v>45078</v>
      </c>
      <c r="B70" t="str" cm="1">
        <f t="array" ref="B70">INDEX($J$2:$J$5, MOD(ROW()-2,4)+1)</f>
        <v>Louis Vuitton</v>
      </c>
      <c r="C70" t="str" cm="1">
        <f t="array" ref="C70">INDEX($L$2:$L$4, INT(MOD(ROW()-2,12)/4)+1)</f>
        <v>Tier 2</v>
      </c>
      <c r="D70">
        <v>101</v>
      </c>
      <c r="E70">
        <v>11890</v>
      </c>
      <c r="F70">
        <v>17</v>
      </c>
      <c r="G70">
        <v>8</v>
      </c>
      <c r="H70" s="6">
        <v>0.48</v>
      </c>
    </row>
    <row r="71" spans="1:8" x14ac:dyDescent="0.2">
      <c r="A71" s="3">
        <f t="shared" si="1"/>
        <v>45078</v>
      </c>
      <c r="B71" t="str" cm="1">
        <f t="array" ref="B71">INDEX($J$2:$J$5, MOD(ROW()-2,4)+1)</f>
        <v>Dior</v>
      </c>
      <c r="C71" t="str" cm="1">
        <f t="array" ref="C71">INDEX($L$2:$L$4, INT(MOD(ROW()-2,12)/4)+1)</f>
        <v>Tier 2</v>
      </c>
      <c r="D71">
        <v>82</v>
      </c>
      <c r="E71">
        <v>9460</v>
      </c>
      <c r="F71">
        <v>12</v>
      </c>
      <c r="G71">
        <v>9</v>
      </c>
      <c r="H71" s="6">
        <v>0.21</v>
      </c>
    </row>
    <row r="72" spans="1:8" x14ac:dyDescent="0.2">
      <c r="A72" s="3">
        <f t="shared" si="1"/>
        <v>45078</v>
      </c>
      <c r="B72" t="str" cm="1">
        <f t="array" ref="B72">INDEX($J$2:$J$5, MOD(ROW()-2,4)+1)</f>
        <v>Gucci</v>
      </c>
      <c r="C72" t="str" cm="1">
        <f t="array" ref="C72">INDEX($L$2:$L$4, INT(MOD(ROW()-2,12)/4)+1)</f>
        <v>Tier 2</v>
      </c>
      <c r="D72">
        <v>71</v>
      </c>
      <c r="E72">
        <v>7722</v>
      </c>
      <c r="F72">
        <v>10</v>
      </c>
      <c r="G72">
        <v>9</v>
      </c>
      <c r="H72" s="6">
        <v>0.21</v>
      </c>
    </row>
    <row r="73" spans="1:8" x14ac:dyDescent="0.2">
      <c r="A73" s="3">
        <f t="shared" si="1"/>
        <v>45078</v>
      </c>
      <c r="B73" t="str" cm="1">
        <f t="array" ref="B73">INDEX($J$2:$J$5, MOD(ROW()-2,4)+1)</f>
        <v>Chanel</v>
      </c>
      <c r="C73" t="str" cm="1">
        <f t="array" ref="C73">INDEX($L$2:$L$4, INT(MOD(ROW()-2,12)/4)+1)</f>
        <v>Tier 2</v>
      </c>
      <c r="D73">
        <v>59</v>
      </c>
      <c r="E73">
        <v>7456</v>
      </c>
      <c r="F73">
        <v>7</v>
      </c>
      <c r="G73">
        <v>8</v>
      </c>
      <c r="H73" s="6">
        <v>0.27</v>
      </c>
    </row>
    <row r="74" spans="1:8" x14ac:dyDescent="0.2">
      <c r="A74" s="3">
        <f t="shared" si="1"/>
        <v>45108</v>
      </c>
      <c r="B74" t="str" cm="1">
        <f t="array" ref="B74">INDEX($J$2:$J$5, MOD(ROW()-2,4)+1)</f>
        <v>Louis Vuitton</v>
      </c>
      <c r="C74" t="str" cm="1">
        <f t="array" ref="C74">INDEX($L$2:$L$4, INT(MOD(ROW()-2,12)/4)+1)</f>
        <v>Tier 1</v>
      </c>
      <c r="D74">
        <v>172</v>
      </c>
      <c r="E74">
        <v>14185</v>
      </c>
      <c r="F74">
        <v>37</v>
      </c>
      <c r="G74">
        <v>12</v>
      </c>
      <c r="H74" s="6">
        <v>0.36</v>
      </c>
    </row>
    <row r="75" spans="1:8" x14ac:dyDescent="0.2">
      <c r="A75" s="3">
        <f t="shared" si="1"/>
        <v>45108</v>
      </c>
      <c r="B75" t="str" cm="1">
        <f t="array" ref="B75">INDEX($J$2:$J$5, MOD(ROW()-2,4)+1)</f>
        <v>Dior</v>
      </c>
      <c r="C75" t="str" cm="1">
        <f t="array" ref="C75">INDEX($L$2:$L$4, INT(MOD(ROW()-2,12)/4)+1)</f>
        <v>Tier 1</v>
      </c>
      <c r="D75">
        <v>126</v>
      </c>
      <c r="E75">
        <v>10953</v>
      </c>
      <c r="F75">
        <v>25</v>
      </c>
      <c r="G75">
        <v>12</v>
      </c>
      <c r="H75" s="6">
        <v>0.49</v>
      </c>
    </row>
    <row r="76" spans="1:8" x14ac:dyDescent="0.2">
      <c r="A76" s="3">
        <f t="shared" si="1"/>
        <v>45108</v>
      </c>
      <c r="B76" t="str" cm="1">
        <f t="array" ref="B76">INDEX($J$2:$J$5, MOD(ROW()-2,4)+1)</f>
        <v>Gucci</v>
      </c>
      <c r="C76" t="str" cm="1">
        <f t="array" ref="C76">INDEX($L$2:$L$4, INT(MOD(ROW()-2,12)/4)+1)</f>
        <v>Tier 1</v>
      </c>
      <c r="D76">
        <v>105</v>
      </c>
      <c r="E76">
        <v>8963</v>
      </c>
      <c r="F76">
        <v>18</v>
      </c>
      <c r="G76">
        <v>12</v>
      </c>
      <c r="H76" s="6">
        <v>0.42</v>
      </c>
    </row>
    <row r="77" spans="1:8" x14ac:dyDescent="0.2">
      <c r="A77" s="3">
        <f t="shared" si="1"/>
        <v>45108</v>
      </c>
      <c r="B77" t="str" cm="1">
        <f t="array" ref="B77">INDEX($J$2:$J$5, MOD(ROW()-2,4)+1)</f>
        <v>Chanel</v>
      </c>
      <c r="C77" t="str" cm="1">
        <f t="array" ref="C77">INDEX($L$2:$L$4, INT(MOD(ROW()-2,12)/4)+1)</f>
        <v>Tier 1</v>
      </c>
      <c r="D77">
        <v>101</v>
      </c>
      <c r="E77">
        <v>8849</v>
      </c>
      <c r="F77">
        <v>15</v>
      </c>
      <c r="G77">
        <v>11</v>
      </c>
      <c r="H77" s="6">
        <v>0.25</v>
      </c>
    </row>
    <row r="78" spans="1:8" x14ac:dyDescent="0.2">
      <c r="A78" s="3">
        <f t="shared" si="1"/>
        <v>45108</v>
      </c>
      <c r="B78" t="str" cm="1">
        <f t="array" ref="B78">INDEX($J$2:$J$5, MOD(ROW()-2,4)+1)</f>
        <v>Louis Vuitton</v>
      </c>
      <c r="C78" t="str" cm="1">
        <f t="array" ref="C78">INDEX($L$2:$L$4, INT(MOD(ROW()-2,12)/4)+1)</f>
        <v>New Tier 1</v>
      </c>
      <c r="D78">
        <v>137</v>
      </c>
      <c r="E78">
        <v>13538</v>
      </c>
      <c r="F78">
        <v>28</v>
      </c>
      <c r="G78">
        <v>10</v>
      </c>
      <c r="H78" s="6">
        <v>0.48</v>
      </c>
    </row>
    <row r="79" spans="1:8" x14ac:dyDescent="0.2">
      <c r="A79" s="3">
        <f t="shared" si="1"/>
        <v>45108</v>
      </c>
      <c r="B79" t="str" cm="1">
        <f t="array" ref="B79">INDEX($J$2:$J$5, MOD(ROW()-2,4)+1)</f>
        <v>Dior</v>
      </c>
      <c r="C79" t="str" cm="1">
        <f t="array" ref="C79">INDEX($L$2:$L$4, INT(MOD(ROW()-2,12)/4)+1)</f>
        <v>New Tier 1</v>
      </c>
      <c r="D79">
        <v>117</v>
      </c>
      <c r="E79">
        <v>10777</v>
      </c>
      <c r="F79">
        <v>23</v>
      </c>
      <c r="G79">
        <v>11</v>
      </c>
      <c r="H79" s="6">
        <v>0.21</v>
      </c>
    </row>
    <row r="80" spans="1:8" x14ac:dyDescent="0.2">
      <c r="A80" s="3">
        <f t="shared" si="1"/>
        <v>45108</v>
      </c>
      <c r="B80" t="str" cm="1">
        <f t="array" ref="B80">INDEX($J$2:$J$5, MOD(ROW()-2,4)+1)</f>
        <v>Gucci</v>
      </c>
      <c r="C80" t="str" cm="1">
        <f t="array" ref="C80">INDEX($L$2:$L$4, INT(MOD(ROW()-2,12)/4)+1)</f>
        <v>New Tier 1</v>
      </c>
      <c r="D80">
        <v>97</v>
      </c>
      <c r="E80">
        <v>8488</v>
      </c>
      <c r="F80">
        <v>16</v>
      </c>
      <c r="G80">
        <v>11</v>
      </c>
      <c r="H80" s="6">
        <v>0.28999999999999998</v>
      </c>
    </row>
    <row r="81" spans="1:8" x14ac:dyDescent="0.2">
      <c r="A81" s="3">
        <f t="shared" si="1"/>
        <v>45108</v>
      </c>
      <c r="B81" t="str" cm="1">
        <f t="array" ref="B81">INDEX($J$2:$J$5, MOD(ROW()-2,4)+1)</f>
        <v>Chanel</v>
      </c>
      <c r="C81" t="str" cm="1">
        <f t="array" ref="C81">INDEX($L$2:$L$4, INT(MOD(ROW()-2,12)/4)+1)</f>
        <v>New Tier 1</v>
      </c>
      <c r="D81">
        <v>88</v>
      </c>
      <c r="E81">
        <v>8460</v>
      </c>
      <c r="F81">
        <v>13</v>
      </c>
      <c r="G81">
        <v>10</v>
      </c>
      <c r="H81" s="6">
        <v>0.3</v>
      </c>
    </row>
    <row r="82" spans="1:8" x14ac:dyDescent="0.2">
      <c r="A82" s="3">
        <f t="shared" si="1"/>
        <v>45108</v>
      </c>
      <c r="B82" t="str" cm="1">
        <f t="array" ref="B82">INDEX($J$2:$J$5, MOD(ROW()-2,4)+1)</f>
        <v>Louis Vuitton</v>
      </c>
      <c r="C82" t="str" cm="1">
        <f t="array" ref="C82">INDEX($L$2:$L$4, INT(MOD(ROW()-2,12)/4)+1)</f>
        <v>Tier 2</v>
      </c>
      <c r="D82">
        <v>107</v>
      </c>
      <c r="E82">
        <v>12172</v>
      </c>
      <c r="F82">
        <v>20</v>
      </c>
      <c r="G82">
        <v>9</v>
      </c>
      <c r="H82" s="6">
        <v>0.28999999999999998</v>
      </c>
    </row>
    <row r="83" spans="1:8" x14ac:dyDescent="0.2">
      <c r="A83" s="3">
        <f t="shared" si="1"/>
        <v>45108</v>
      </c>
      <c r="B83" t="str" cm="1">
        <f t="array" ref="B83">INDEX($J$2:$J$5, MOD(ROW()-2,4)+1)</f>
        <v>Dior</v>
      </c>
      <c r="C83" t="str" cm="1">
        <f t="array" ref="C83">INDEX($L$2:$L$4, INT(MOD(ROW()-2,12)/4)+1)</f>
        <v>Tier 2</v>
      </c>
      <c r="D83">
        <v>86</v>
      </c>
      <c r="E83">
        <v>9908</v>
      </c>
      <c r="F83">
        <v>14</v>
      </c>
      <c r="G83">
        <v>9</v>
      </c>
      <c r="H83" s="6">
        <v>0.24</v>
      </c>
    </row>
    <row r="84" spans="1:8" x14ac:dyDescent="0.2">
      <c r="A84" s="3">
        <f t="shared" si="1"/>
        <v>45108</v>
      </c>
      <c r="B84" t="str" cm="1">
        <f t="array" ref="B84">INDEX($J$2:$J$5, MOD(ROW()-2,4)+1)</f>
        <v>Gucci</v>
      </c>
      <c r="C84" t="str" cm="1">
        <f t="array" ref="C84">INDEX($L$2:$L$4, INT(MOD(ROW()-2,12)/4)+1)</f>
        <v>Tier 2</v>
      </c>
      <c r="D84">
        <v>71</v>
      </c>
      <c r="E84">
        <v>7665</v>
      </c>
      <c r="F84">
        <v>10</v>
      </c>
      <c r="G84">
        <v>9</v>
      </c>
      <c r="H84" s="6">
        <v>0.23</v>
      </c>
    </row>
    <row r="85" spans="1:8" x14ac:dyDescent="0.2">
      <c r="A85" s="3">
        <f t="shared" si="1"/>
        <v>45108</v>
      </c>
      <c r="B85" t="str" cm="1">
        <f t="array" ref="B85">INDEX($J$2:$J$5, MOD(ROW()-2,4)+1)</f>
        <v>Chanel</v>
      </c>
      <c r="C85" t="str" cm="1">
        <f t="array" ref="C85">INDEX($L$2:$L$4, INT(MOD(ROW()-2,12)/4)+1)</f>
        <v>Tier 2</v>
      </c>
      <c r="D85">
        <v>62</v>
      </c>
      <c r="E85">
        <v>7559</v>
      </c>
      <c r="F85">
        <v>7</v>
      </c>
      <c r="G85">
        <v>8</v>
      </c>
      <c r="H85" s="6">
        <v>0.28999999999999998</v>
      </c>
    </row>
    <row r="86" spans="1:8" x14ac:dyDescent="0.2">
      <c r="A86" s="3">
        <f t="shared" si="1"/>
        <v>45139</v>
      </c>
      <c r="B86" t="str" cm="1">
        <f t="array" ref="B86">INDEX($J$2:$J$5, MOD(ROW()-2,4)+1)</f>
        <v>Louis Vuitton</v>
      </c>
      <c r="C86" t="str" cm="1">
        <f t="array" ref="C86">INDEX($L$2:$L$4, INT(MOD(ROW()-2,12)/4)+1)</f>
        <v>Tier 1</v>
      </c>
      <c r="D86">
        <v>176</v>
      </c>
      <c r="E86">
        <v>14231</v>
      </c>
      <c r="F86">
        <v>37</v>
      </c>
      <c r="G86">
        <v>12</v>
      </c>
      <c r="H86" s="6">
        <v>0.46</v>
      </c>
    </row>
    <row r="87" spans="1:8" x14ac:dyDescent="0.2">
      <c r="A87" s="3">
        <f t="shared" si="1"/>
        <v>45139</v>
      </c>
      <c r="B87" t="str" cm="1">
        <f t="array" ref="B87">INDEX($J$2:$J$5, MOD(ROW()-2,4)+1)</f>
        <v>Dior</v>
      </c>
      <c r="C87" t="str" cm="1">
        <f t="array" ref="C87">INDEX($L$2:$L$4, INT(MOD(ROW()-2,12)/4)+1)</f>
        <v>Tier 1</v>
      </c>
      <c r="D87">
        <v>137</v>
      </c>
      <c r="E87">
        <v>10558</v>
      </c>
      <c r="F87">
        <v>26</v>
      </c>
      <c r="G87">
        <v>13</v>
      </c>
      <c r="H87" s="6">
        <v>0.39</v>
      </c>
    </row>
    <row r="88" spans="1:8" x14ac:dyDescent="0.2">
      <c r="A88" s="3">
        <f t="shared" si="1"/>
        <v>45139</v>
      </c>
      <c r="B88" t="str" cm="1">
        <f t="array" ref="B88">INDEX($J$2:$J$5, MOD(ROW()-2,4)+1)</f>
        <v>Gucci</v>
      </c>
      <c r="C88" t="str" cm="1">
        <f t="array" ref="C88">INDEX($L$2:$L$4, INT(MOD(ROW()-2,12)/4)+1)</f>
        <v>Tier 1</v>
      </c>
      <c r="D88">
        <v>107</v>
      </c>
      <c r="E88">
        <v>9384</v>
      </c>
      <c r="F88">
        <v>20</v>
      </c>
      <c r="G88">
        <v>11</v>
      </c>
      <c r="H88" s="6">
        <v>0.39</v>
      </c>
    </row>
    <row r="89" spans="1:8" x14ac:dyDescent="0.2">
      <c r="A89" s="3">
        <f t="shared" si="1"/>
        <v>45139</v>
      </c>
      <c r="B89" t="str" cm="1">
        <f t="array" ref="B89">INDEX($J$2:$J$5, MOD(ROW()-2,4)+1)</f>
        <v>Chanel</v>
      </c>
      <c r="C89" t="str" cm="1">
        <f t="array" ref="C89">INDEX($L$2:$L$4, INT(MOD(ROW()-2,12)/4)+1)</f>
        <v>Tier 1</v>
      </c>
      <c r="D89">
        <v>96</v>
      </c>
      <c r="E89">
        <v>9075</v>
      </c>
      <c r="F89">
        <v>14</v>
      </c>
      <c r="G89">
        <v>11</v>
      </c>
      <c r="H89" s="6">
        <v>0.35</v>
      </c>
    </row>
    <row r="90" spans="1:8" x14ac:dyDescent="0.2">
      <c r="A90" s="3">
        <f t="shared" si="1"/>
        <v>45139</v>
      </c>
      <c r="B90" t="str" cm="1">
        <f t="array" ref="B90">INDEX($J$2:$J$5, MOD(ROW()-2,4)+1)</f>
        <v>Louis Vuitton</v>
      </c>
      <c r="C90" t="str" cm="1">
        <f t="array" ref="C90">INDEX($L$2:$L$4, INT(MOD(ROW()-2,12)/4)+1)</f>
        <v>New Tier 1</v>
      </c>
      <c r="D90">
        <v>149</v>
      </c>
      <c r="E90">
        <v>13066</v>
      </c>
      <c r="F90">
        <v>29</v>
      </c>
      <c r="G90">
        <v>11</v>
      </c>
      <c r="H90" s="6">
        <v>0.4</v>
      </c>
    </row>
    <row r="91" spans="1:8" x14ac:dyDescent="0.2">
      <c r="A91" s="3">
        <f t="shared" si="1"/>
        <v>45139</v>
      </c>
      <c r="B91" t="str" cm="1">
        <f t="array" ref="B91">INDEX($J$2:$J$5, MOD(ROW()-2,4)+1)</f>
        <v>Dior</v>
      </c>
      <c r="C91" t="str" cm="1">
        <f t="array" ref="C91">INDEX($L$2:$L$4, INT(MOD(ROW()-2,12)/4)+1)</f>
        <v>New Tier 1</v>
      </c>
      <c r="D91">
        <v>116</v>
      </c>
      <c r="E91">
        <v>10365</v>
      </c>
      <c r="F91">
        <v>21</v>
      </c>
      <c r="G91">
        <v>11</v>
      </c>
      <c r="H91" s="6">
        <v>0.41</v>
      </c>
    </row>
    <row r="92" spans="1:8" x14ac:dyDescent="0.2">
      <c r="A92" s="3">
        <f t="shared" si="1"/>
        <v>45139</v>
      </c>
      <c r="B92" t="str" cm="1">
        <f t="array" ref="B92">INDEX($J$2:$J$5, MOD(ROW()-2,4)+1)</f>
        <v>Gucci</v>
      </c>
      <c r="C92" t="str" cm="1">
        <f t="array" ref="C92">INDEX($L$2:$L$4, INT(MOD(ROW()-2,12)/4)+1)</f>
        <v>New Tier 1</v>
      </c>
      <c r="D92">
        <v>104</v>
      </c>
      <c r="E92">
        <v>9161</v>
      </c>
      <c r="F92">
        <v>16</v>
      </c>
      <c r="G92">
        <v>11</v>
      </c>
      <c r="H92" s="6">
        <v>0.3</v>
      </c>
    </row>
    <row r="93" spans="1:8" x14ac:dyDescent="0.2">
      <c r="A93" s="3">
        <f t="shared" si="1"/>
        <v>45139</v>
      </c>
      <c r="B93" t="str" cm="1">
        <f t="array" ref="B93">INDEX($J$2:$J$5, MOD(ROW()-2,4)+1)</f>
        <v>Chanel</v>
      </c>
      <c r="C93" t="str" cm="1">
        <f t="array" ref="C93">INDEX($L$2:$L$4, INT(MOD(ROW()-2,12)/4)+1)</f>
        <v>New Tier 1</v>
      </c>
      <c r="D93">
        <v>79</v>
      </c>
      <c r="E93">
        <v>8566</v>
      </c>
      <c r="F93">
        <v>11</v>
      </c>
      <c r="G93">
        <v>9</v>
      </c>
      <c r="H93" s="6">
        <v>0.36</v>
      </c>
    </row>
    <row r="94" spans="1:8" x14ac:dyDescent="0.2">
      <c r="A94" s="3">
        <f t="shared" si="1"/>
        <v>45139</v>
      </c>
      <c r="B94" t="str" cm="1">
        <f t="array" ref="B94">INDEX($J$2:$J$5, MOD(ROW()-2,4)+1)</f>
        <v>Louis Vuitton</v>
      </c>
      <c r="C94" t="str" cm="1">
        <f t="array" ref="C94">INDEX($L$2:$L$4, INT(MOD(ROW()-2,12)/4)+1)</f>
        <v>Tier 2</v>
      </c>
      <c r="D94">
        <v>106</v>
      </c>
      <c r="E94">
        <v>12398</v>
      </c>
      <c r="F94">
        <v>19</v>
      </c>
      <c r="G94">
        <v>9</v>
      </c>
      <c r="H94" s="6">
        <v>0.26</v>
      </c>
    </row>
    <row r="95" spans="1:8" x14ac:dyDescent="0.2">
      <c r="A95" s="3">
        <f t="shared" si="1"/>
        <v>45139</v>
      </c>
      <c r="B95" t="str" cm="1">
        <f t="array" ref="B95">INDEX($J$2:$J$5, MOD(ROW()-2,4)+1)</f>
        <v>Dior</v>
      </c>
      <c r="C95" t="str" cm="1">
        <f t="array" ref="C95">INDEX($L$2:$L$4, INT(MOD(ROW()-2,12)/4)+1)</f>
        <v>Tier 2</v>
      </c>
      <c r="D95">
        <v>75</v>
      </c>
      <c r="E95">
        <v>9344</v>
      </c>
      <c r="F95">
        <v>12</v>
      </c>
      <c r="G95">
        <v>8</v>
      </c>
      <c r="H95" s="6">
        <v>0.4</v>
      </c>
    </row>
    <row r="96" spans="1:8" x14ac:dyDescent="0.2">
      <c r="A96" s="3">
        <f t="shared" si="1"/>
        <v>45139</v>
      </c>
      <c r="B96" t="str" cm="1">
        <f t="array" ref="B96">INDEX($J$2:$J$5, MOD(ROW()-2,4)+1)</f>
        <v>Gucci</v>
      </c>
      <c r="C96" t="str" cm="1">
        <f t="array" ref="C96">INDEX($L$2:$L$4, INT(MOD(ROW()-2,12)/4)+1)</f>
        <v>Tier 2</v>
      </c>
      <c r="D96">
        <v>70</v>
      </c>
      <c r="E96">
        <v>8023</v>
      </c>
      <c r="F96">
        <v>10</v>
      </c>
      <c r="G96">
        <v>9</v>
      </c>
      <c r="H96" s="6">
        <v>0.28999999999999998</v>
      </c>
    </row>
    <row r="97" spans="1:8" x14ac:dyDescent="0.2">
      <c r="A97" s="3">
        <f t="shared" si="1"/>
        <v>45139</v>
      </c>
      <c r="B97" t="str" cm="1">
        <f t="array" ref="B97">INDEX($J$2:$J$5, MOD(ROW()-2,4)+1)</f>
        <v>Chanel</v>
      </c>
      <c r="C97" t="str" cm="1">
        <f t="array" ref="C97">INDEX($L$2:$L$4, INT(MOD(ROW()-2,12)/4)+1)</f>
        <v>Tier 2</v>
      </c>
      <c r="D97">
        <v>59</v>
      </c>
      <c r="E97">
        <v>7767</v>
      </c>
      <c r="F97">
        <v>7</v>
      </c>
      <c r="G97">
        <v>8</v>
      </c>
      <c r="H97" s="6">
        <v>0.28999999999999998</v>
      </c>
    </row>
    <row r="98" spans="1:8" x14ac:dyDescent="0.2">
      <c r="A98" s="3">
        <f t="shared" si="1"/>
        <v>45170</v>
      </c>
      <c r="B98" t="str" cm="1">
        <f t="array" ref="B98">INDEX($J$2:$J$5, MOD(ROW()-2,4)+1)</f>
        <v>Louis Vuitton</v>
      </c>
      <c r="C98" t="str" cm="1">
        <f t="array" ref="C98">INDEX($L$2:$L$4, INT(MOD(ROW()-2,12)/4)+1)</f>
        <v>Tier 1</v>
      </c>
      <c r="D98">
        <v>185</v>
      </c>
      <c r="E98">
        <v>13681</v>
      </c>
      <c r="F98">
        <v>44</v>
      </c>
      <c r="G98">
        <v>14</v>
      </c>
      <c r="H98" s="6">
        <v>0.5</v>
      </c>
    </row>
    <row r="99" spans="1:8" x14ac:dyDescent="0.2">
      <c r="A99" s="3">
        <f t="shared" si="1"/>
        <v>45170</v>
      </c>
      <c r="B99" t="str" cm="1">
        <f t="array" ref="B99">INDEX($J$2:$J$5, MOD(ROW()-2,4)+1)</f>
        <v>Dior</v>
      </c>
      <c r="C99" t="str" cm="1">
        <f t="array" ref="C99">INDEX($L$2:$L$4, INT(MOD(ROW()-2,12)/4)+1)</f>
        <v>Tier 1</v>
      </c>
      <c r="D99">
        <v>126</v>
      </c>
      <c r="E99">
        <v>11370</v>
      </c>
      <c r="F99">
        <v>25</v>
      </c>
      <c r="G99">
        <v>11</v>
      </c>
      <c r="H99" s="6">
        <v>0.32</v>
      </c>
    </row>
    <row r="100" spans="1:8" x14ac:dyDescent="0.2">
      <c r="A100" s="3">
        <f t="shared" si="1"/>
        <v>45170</v>
      </c>
      <c r="B100" t="str" cm="1">
        <f t="array" ref="B100">INDEX($J$2:$J$5, MOD(ROW()-2,4)+1)</f>
        <v>Gucci</v>
      </c>
      <c r="C100" t="str" cm="1">
        <f t="array" ref="C100">INDEX($L$2:$L$4, INT(MOD(ROW()-2,12)/4)+1)</f>
        <v>Tier 1</v>
      </c>
      <c r="D100">
        <v>116</v>
      </c>
      <c r="E100">
        <v>9619</v>
      </c>
      <c r="F100">
        <v>21</v>
      </c>
      <c r="G100">
        <v>12</v>
      </c>
      <c r="H100" s="6">
        <v>0.42</v>
      </c>
    </row>
    <row r="101" spans="1:8" x14ac:dyDescent="0.2">
      <c r="A101" s="3">
        <f t="shared" si="1"/>
        <v>45170</v>
      </c>
      <c r="B101" t="str" cm="1">
        <f t="array" ref="B101">INDEX($J$2:$J$5, MOD(ROW()-2,4)+1)</f>
        <v>Chanel</v>
      </c>
      <c r="C101" t="str" cm="1">
        <f t="array" ref="C101">INDEX($L$2:$L$4, INT(MOD(ROW()-2,12)/4)+1)</f>
        <v>Tier 1</v>
      </c>
      <c r="D101">
        <v>96</v>
      </c>
      <c r="E101">
        <v>8510</v>
      </c>
      <c r="F101">
        <v>13</v>
      </c>
      <c r="G101">
        <v>11</v>
      </c>
      <c r="H101" s="6">
        <v>0.3</v>
      </c>
    </row>
    <row r="102" spans="1:8" x14ac:dyDescent="0.2">
      <c r="A102" s="3">
        <f t="shared" si="1"/>
        <v>45170</v>
      </c>
      <c r="B102" t="str" cm="1">
        <f t="array" ref="B102">INDEX($J$2:$J$5, MOD(ROW()-2,4)+1)</f>
        <v>Louis Vuitton</v>
      </c>
      <c r="C102" t="str" cm="1">
        <f t="array" ref="C102">INDEX($L$2:$L$4, INT(MOD(ROW()-2,12)/4)+1)</f>
        <v>New Tier 1</v>
      </c>
      <c r="D102">
        <v>149</v>
      </c>
      <c r="E102">
        <v>12719</v>
      </c>
      <c r="F102">
        <v>29</v>
      </c>
      <c r="G102">
        <v>12</v>
      </c>
      <c r="H102" s="6">
        <v>0.28000000000000003</v>
      </c>
    </row>
    <row r="103" spans="1:8" x14ac:dyDescent="0.2">
      <c r="A103" s="3">
        <f t="shared" si="1"/>
        <v>45170</v>
      </c>
      <c r="B103" t="str" cm="1">
        <f t="array" ref="B103">INDEX($J$2:$J$5, MOD(ROW()-2,4)+1)</f>
        <v>Dior</v>
      </c>
      <c r="C103" t="str" cm="1">
        <f t="array" ref="C103">INDEX($L$2:$L$4, INT(MOD(ROW()-2,12)/4)+1)</f>
        <v>New Tier 1</v>
      </c>
      <c r="D103">
        <v>104</v>
      </c>
      <c r="E103">
        <v>10668</v>
      </c>
      <c r="F103">
        <v>19</v>
      </c>
      <c r="G103">
        <v>10</v>
      </c>
      <c r="H103" s="6">
        <v>0.43</v>
      </c>
    </row>
    <row r="104" spans="1:8" x14ac:dyDescent="0.2">
      <c r="A104" s="3">
        <f t="shared" si="1"/>
        <v>45170</v>
      </c>
      <c r="B104" t="str" cm="1">
        <f t="array" ref="B104">INDEX($J$2:$J$5, MOD(ROW()-2,4)+1)</f>
        <v>Gucci</v>
      </c>
      <c r="C104" t="str" cm="1">
        <f t="array" ref="C104">INDEX($L$2:$L$4, INT(MOD(ROW()-2,12)/4)+1)</f>
        <v>New Tier 1</v>
      </c>
      <c r="D104">
        <v>95</v>
      </c>
      <c r="E104">
        <v>8873</v>
      </c>
      <c r="F104">
        <v>14</v>
      </c>
      <c r="G104">
        <v>11</v>
      </c>
      <c r="H104" s="6">
        <v>0.42</v>
      </c>
    </row>
    <row r="105" spans="1:8" x14ac:dyDescent="0.2">
      <c r="A105" s="3">
        <f t="shared" si="1"/>
        <v>45170</v>
      </c>
      <c r="B105" t="str" cm="1">
        <f t="array" ref="B105">INDEX($J$2:$J$5, MOD(ROW()-2,4)+1)</f>
        <v>Chanel</v>
      </c>
      <c r="C105" t="str" cm="1">
        <f t="array" ref="C105">INDEX($L$2:$L$4, INT(MOD(ROW()-2,12)/4)+1)</f>
        <v>New Tier 1</v>
      </c>
      <c r="D105">
        <v>83</v>
      </c>
      <c r="E105">
        <v>8555</v>
      </c>
      <c r="F105">
        <v>12</v>
      </c>
      <c r="G105">
        <v>10</v>
      </c>
      <c r="H105" s="6">
        <v>0.36</v>
      </c>
    </row>
    <row r="106" spans="1:8" x14ac:dyDescent="0.2">
      <c r="A106" s="3">
        <f t="shared" si="1"/>
        <v>45170</v>
      </c>
      <c r="B106" t="str" cm="1">
        <f t="array" ref="B106">INDEX($J$2:$J$5, MOD(ROW()-2,4)+1)</f>
        <v>Louis Vuitton</v>
      </c>
      <c r="C106" t="str" cm="1">
        <f t="array" ref="C106">INDEX($L$2:$L$4, INT(MOD(ROW()-2,12)/4)+1)</f>
        <v>Tier 2</v>
      </c>
      <c r="D106">
        <v>103</v>
      </c>
      <c r="E106">
        <v>11405</v>
      </c>
      <c r="F106">
        <v>17</v>
      </c>
      <c r="G106">
        <v>9</v>
      </c>
      <c r="H106" s="6">
        <v>0.48</v>
      </c>
    </row>
    <row r="107" spans="1:8" x14ac:dyDescent="0.2">
      <c r="A107" s="3">
        <f t="shared" si="1"/>
        <v>45170</v>
      </c>
      <c r="B107" t="str" cm="1">
        <f t="array" ref="B107">INDEX($J$2:$J$5, MOD(ROW()-2,4)+1)</f>
        <v>Dior</v>
      </c>
      <c r="C107" t="str" cm="1">
        <f t="array" ref="C107">INDEX($L$2:$L$4, INT(MOD(ROW()-2,12)/4)+1)</f>
        <v>Tier 2</v>
      </c>
      <c r="D107">
        <v>73</v>
      </c>
      <c r="E107">
        <v>9592</v>
      </c>
      <c r="F107">
        <v>12</v>
      </c>
      <c r="G107">
        <v>8</v>
      </c>
      <c r="H107" s="6">
        <v>0.36</v>
      </c>
    </row>
    <row r="108" spans="1:8" x14ac:dyDescent="0.2">
      <c r="A108" s="3">
        <f t="shared" si="1"/>
        <v>45170</v>
      </c>
      <c r="B108" t="str" cm="1">
        <f t="array" ref="B108">INDEX($J$2:$J$5, MOD(ROW()-2,4)+1)</f>
        <v>Gucci</v>
      </c>
      <c r="C108" t="str" cm="1">
        <f t="array" ref="C108">INDEX($L$2:$L$4, INT(MOD(ROW()-2,12)/4)+1)</f>
        <v>Tier 2</v>
      </c>
      <c r="D108">
        <v>68</v>
      </c>
      <c r="E108">
        <v>7864</v>
      </c>
      <c r="F108">
        <v>9</v>
      </c>
      <c r="G108">
        <v>9</v>
      </c>
      <c r="H108" s="6">
        <v>0.28000000000000003</v>
      </c>
    </row>
    <row r="109" spans="1:8" x14ac:dyDescent="0.2">
      <c r="A109" s="3">
        <f t="shared" si="1"/>
        <v>45170</v>
      </c>
      <c r="B109" t="str" cm="1">
        <f t="array" ref="B109">INDEX($J$2:$J$5, MOD(ROW()-2,4)+1)</f>
        <v>Chanel</v>
      </c>
      <c r="C109" t="str" cm="1">
        <f t="array" ref="C109">INDEX($L$2:$L$4, INT(MOD(ROW()-2,12)/4)+1)</f>
        <v>Tier 2</v>
      </c>
      <c r="D109">
        <v>62</v>
      </c>
      <c r="E109">
        <v>7703</v>
      </c>
      <c r="F109">
        <v>7</v>
      </c>
      <c r="G109">
        <v>8</v>
      </c>
      <c r="H109" s="6">
        <v>0.41</v>
      </c>
    </row>
    <row r="110" spans="1:8" x14ac:dyDescent="0.2">
      <c r="A110" s="3">
        <f t="shared" si="1"/>
        <v>45200</v>
      </c>
      <c r="B110" t="str" cm="1">
        <f t="array" ref="B110">INDEX($J$2:$J$5, MOD(ROW()-2,4)+1)</f>
        <v>Louis Vuitton</v>
      </c>
      <c r="C110" t="str" cm="1">
        <f t="array" ref="C110">INDEX($L$2:$L$4, INT(MOD(ROW()-2,12)/4)+1)</f>
        <v>Tier 1</v>
      </c>
      <c r="D110">
        <v>162</v>
      </c>
      <c r="E110">
        <v>13845</v>
      </c>
      <c r="F110">
        <v>34</v>
      </c>
      <c r="G110">
        <v>12</v>
      </c>
      <c r="H110" s="6">
        <v>0.24</v>
      </c>
    </row>
    <row r="111" spans="1:8" x14ac:dyDescent="0.2">
      <c r="A111" s="3">
        <f t="shared" si="1"/>
        <v>45200</v>
      </c>
      <c r="B111" t="str" cm="1">
        <f t="array" ref="B111">INDEX($J$2:$J$5, MOD(ROW()-2,4)+1)</f>
        <v>Dior</v>
      </c>
      <c r="C111" t="str" cm="1">
        <f t="array" ref="C111">INDEX($L$2:$L$4, INT(MOD(ROW()-2,12)/4)+1)</f>
        <v>Tier 1</v>
      </c>
      <c r="D111">
        <v>123</v>
      </c>
      <c r="E111">
        <v>10966</v>
      </c>
      <c r="F111">
        <v>24</v>
      </c>
      <c r="G111">
        <v>11</v>
      </c>
      <c r="H111" s="6">
        <v>0.46</v>
      </c>
    </row>
    <row r="112" spans="1:8" x14ac:dyDescent="0.2">
      <c r="A112" s="3">
        <f t="shared" si="1"/>
        <v>45200</v>
      </c>
      <c r="B112" t="str" cm="1">
        <f t="array" ref="B112">INDEX($J$2:$J$5, MOD(ROW()-2,4)+1)</f>
        <v>Gucci</v>
      </c>
      <c r="C112" t="str" cm="1">
        <f t="array" ref="C112">INDEX($L$2:$L$4, INT(MOD(ROW()-2,12)/4)+1)</f>
        <v>Tier 1</v>
      </c>
      <c r="D112">
        <v>125</v>
      </c>
      <c r="E112">
        <v>9406</v>
      </c>
      <c r="F112">
        <v>23</v>
      </c>
      <c r="G112">
        <v>13</v>
      </c>
      <c r="H112" s="6">
        <v>0.28999999999999998</v>
      </c>
    </row>
    <row r="113" spans="1:8" x14ac:dyDescent="0.2">
      <c r="A113" s="3">
        <f t="shared" si="1"/>
        <v>45200</v>
      </c>
      <c r="B113" t="str" cm="1">
        <f t="array" ref="B113">INDEX($J$2:$J$5, MOD(ROW()-2,4)+1)</f>
        <v>Chanel</v>
      </c>
      <c r="C113" t="str" cm="1">
        <f t="array" ref="C113">INDEX($L$2:$L$4, INT(MOD(ROW()-2,12)/4)+1)</f>
        <v>Tier 1</v>
      </c>
      <c r="D113">
        <v>100</v>
      </c>
      <c r="E113">
        <v>8624</v>
      </c>
      <c r="F113">
        <v>16</v>
      </c>
      <c r="G113">
        <v>12</v>
      </c>
      <c r="H113" s="6">
        <v>0.42</v>
      </c>
    </row>
    <row r="114" spans="1:8" x14ac:dyDescent="0.2">
      <c r="A114" s="3">
        <f t="shared" si="1"/>
        <v>45200</v>
      </c>
      <c r="B114" t="str" cm="1">
        <f t="array" ref="B114">INDEX($J$2:$J$5, MOD(ROW()-2,4)+1)</f>
        <v>Louis Vuitton</v>
      </c>
      <c r="C114" t="str" cm="1">
        <f t="array" ref="C114">INDEX($L$2:$L$4, INT(MOD(ROW()-2,12)/4)+1)</f>
        <v>New Tier 1</v>
      </c>
      <c r="D114">
        <v>158</v>
      </c>
      <c r="E114">
        <v>13067</v>
      </c>
      <c r="F114">
        <v>31</v>
      </c>
      <c r="G114">
        <v>12</v>
      </c>
      <c r="H114" s="6">
        <v>0.34</v>
      </c>
    </row>
    <row r="115" spans="1:8" x14ac:dyDescent="0.2">
      <c r="A115" s="3">
        <f t="shared" si="1"/>
        <v>45200</v>
      </c>
      <c r="B115" t="str" cm="1">
        <f t="array" ref="B115">INDEX($J$2:$J$5, MOD(ROW()-2,4)+1)</f>
        <v>Dior</v>
      </c>
      <c r="C115" t="str" cm="1">
        <f t="array" ref="C115">INDEX($L$2:$L$4, INT(MOD(ROW()-2,12)/4)+1)</f>
        <v>New Tier 1</v>
      </c>
      <c r="D115">
        <v>106</v>
      </c>
      <c r="E115">
        <v>10155</v>
      </c>
      <c r="F115">
        <v>20</v>
      </c>
      <c r="G115">
        <v>10</v>
      </c>
      <c r="H115" s="6">
        <v>0.35</v>
      </c>
    </row>
    <row r="116" spans="1:8" x14ac:dyDescent="0.2">
      <c r="A116" s="3">
        <f t="shared" si="1"/>
        <v>45200</v>
      </c>
      <c r="B116" t="str" cm="1">
        <f t="array" ref="B116">INDEX($J$2:$J$5, MOD(ROW()-2,4)+1)</f>
        <v>Gucci</v>
      </c>
      <c r="C116" t="str" cm="1">
        <f t="array" ref="C116">INDEX($L$2:$L$4, INT(MOD(ROW()-2,12)/4)+1)</f>
        <v>New Tier 1</v>
      </c>
      <c r="D116">
        <v>95</v>
      </c>
      <c r="E116">
        <v>8977</v>
      </c>
      <c r="F116">
        <v>15</v>
      </c>
      <c r="G116">
        <v>11</v>
      </c>
      <c r="H116" s="6">
        <v>0.44</v>
      </c>
    </row>
    <row r="117" spans="1:8" x14ac:dyDescent="0.2">
      <c r="A117" s="3">
        <f t="shared" si="1"/>
        <v>45200</v>
      </c>
      <c r="B117" t="str" cm="1">
        <f t="array" ref="B117">INDEX($J$2:$J$5, MOD(ROW()-2,4)+1)</f>
        <v>Chanel</v>
      </c>
      <c r="C117" t="str" cm="1">
        <f t="array" ref="C117">INDEX($L$2:$L$4, INT(MOD(ROW()-2,12)/4)+1)</f>
        <v>New Tier 1</v>
      </c>
      <c r="D117">
        <v>77</v>
      </c>
      <c r="E117">
        <v>8412</v>
      </c>
      <c r="F117">
        <v>11</v>
      </c>
      <c r="G117">
        <v>9</v>
      </c>
      <c r="H117" s="6">
        <v>0.31</v>
      </c>
    </row>
    <row r="118" spans="1:8" x14ac:dyDescent="0.2">
      <c r="A118" s="3">
        <f t="shared" si="1"/>
        <v>45200</v>
      </c>
      <c r="B118" t="str" cm="1">
        <f t="array" ref="B118">INDEX($J$2:$J$5, MOD(ROW()-2,4)+1)</f>
        <v>Louis Vuitton</v>
      </c>
      <c r="C118" t="str" cm="1">
        <f t="array" ref="C118">INDEX($L$2:$L$4, INT(MOD(ROW()-2,12)/4)+1)</f>
        <v>Tier 2</v>
      </c>
      <c r="D118">
        <v>103</v>
      </c>
      <c r="E118">
        <v>11636</v>
      </c>
      <c r="F118">
        <v>17</v>
      </c>
      <c r="G118">
        <v>9</v>
      </c>
      <c r="H118" s="6">
        <v>0.4</v>
      </c>
    </row>
    <row r="119" spans="1:8" x14ac:dyDescent="0.2">
      <c r="A119" s="3">
        <f t="shared" si="1"/>
        <v>45200</v>
      </c>
      <c r="B119" t="str" cm="1">
        <f t="array" ref="B119">INDEX($J$2:$J$5, MOD(ROW()-2,4)+1)</f>
        <v>Dior</v>
      </c>
      <c r="C119" t="str" cm="1">
        <f t="array" ref="C119">INDEX($L$2:$L$4, INT(MOD(ROW()-2,12)/4)+1)</f>
        <v>Tier 2</v>
      </c>
      <c r="D119">
        <v>75</v>
      </c>
      <c r="E119">
        <v>9199</v>
      </c>
      <c r="F119">
        <v>12</v>
      </c>
      <c r="G119">
        <v>8</v>
      </c>
      <c r="H119" s="6">
        <v>0.38</v>
      </c>
    </row>
    <row r="120" spans="1:8" x14ac:dyDescent="0.2">
      <c r="A120" s="3">
        <f t="shared" si="1"/>
        <v>45200</v>
      </c>
      <c r="B120" t="str" cm="1">
        <f t="array" ref="B120">INDEX($J$2:$J$5, MOD(ROW()-2,4)+1)</f>
        <v>Gucci</v>
      </c>
      <c r="C120" t="str" cm="1">
        <f t="array" ref="C120">INDEX($L$2:$L$4, INT(MOD(ROW()-2,12)/4)+1)</f>
        <v>Tier 2</v>
      </c>
      <c r="D120">
        <v>71</v>
      </c>
      <c r="E120">
        <v>7653</v>
      </c>
      <c r="F120">
        <v>9</v>
      </c>
      <c r="G120">
        <v>9</v>
      </c>
      <c r="H120" s="6">
        <v>0.24</v>
      </c>
    </row>
    <row r="121" spans="1:8" x14ac:dyDescent="0.2">
      <c r="A121" s="3">
        <f t="shared" si="1"/>
        <v>45200</v>
      </c>
      <c r="B121" t="str" cm="1">
        <f t="array" ref="B121">INDEX($J$2:$J$5, MOD(ROW()-2,4)+1)</f>
        <v>Chanel</v>
      </c>
      <c r="C121" t="str" cm="1">
        <f t="array" ref="C121">INDEX($L$2:$L$4, INT(MOD(ROW()-2,12)/4)+1)</f>
        <v>Tier 2</v>
      </c>
      <c r="D121">
        <v>57</v>
      </c>
      <c r="E121">
        <v>7729</v>
      </c>
      <c r="F121">
        <v>7</v>
      </c>
      <c r="G121">
        <v>7</v>
      </c>
      <c r="H121" s="6">
        <v>0.43</v>
      </c>
    </row>
    <row r="122" spans="1:8" x14ac:dyDescent="0.2">
      <c r="A122" s="3">
        <f t="shared" si="1"/>
        <v>45231</v>
      </c>
      <c r="B122" t="str" cm="1">
        <f t="array" ref="B122">INDEX($J$2:$J$5, MOD(ROW()-2,4)+1)</f>
        <v>Louis Vuitton</v>
      </c>
      <c r="C122" t="str" cm="1">
        <f t="array" ref="C122">INDEX($L$2:$L$4, INT(MOD(ROW()-2,12)/4)+1)</f>
        <v>Tier 1</v>
      </c>
      <c r="D122">
        <v>180</v>
      </c>
      <c r="E122">
        <v>14518</v>
      </c>
      <c r="F122">
        <v>38</v>
      </c>
      <c r="G122">
        <v>12</v>
      </c>
      <c r="H122" s="6">
        <v>0.24</v>
      </c>
    </row>
    <row r="123" spans="1:8" x14ac:dyDescent="0.2">
      <c r="A123" s="3">
        <f t="shared" si="1"/>
        <v>45231</v>
      </c>
      <c r="B123" t="str" cm="1">
        <f t="array" ref="B123">INDEX($J$2:$J$5, MOD(ROW()-2,4)+1)</f>
        <v>Dior</v>
      </c>
      <c r="C123" t="str" cm="1">
        <f t="array" ref="C123">INDEX($L$2:$L$4, INT(MOD(ROW()-2,12)/4)+1)</f>
        <v>Tier 1</v>
      </c>
      <c r="D123">
        <v>137</v>
      </c>
      <c r="E123">
        <v>10797</v>
      </c>
      <c r="F123">
        <v>26</v>
      </c>
      <c r="G123">
        <v>13</v>
      </c>
      <c r="H123" s="6">
        <v>0.47</v>
      </c>
    </row>
    <row r="124" spans="1:8" x14ac:dyDescent="0.2">
      <c r="A124" s="3">
        <f t="shared" si="1"/>
        <v>45231</v>
      </c>
      <c r="B124" t="str" cm="1">
        <f t="array" ref="B124">INDEX($J$2:$J$5, MOD(ROW()-2,4)+1)</f>
        <v>Gucci</v>
      </c>
      <c r="C124" t="str" cm="1">
        <f t="array" ref="C124">INDEX($L$2:$L$4, INT(MOD(ROW()-2,12)/4)+1)</f>
        <v>Tier 1</v>
      </c>
      <c r="D124">
        <v>125</v>
      </c>
      <c r="E124">
        <v>9349</v>
      </c>
      <c r="F124">
        <v>21</v>
      </c>
      <c r="G124">
        <v>13</v>
      </c>
      <c r="H124" s="6">
        <v>0.49</v>
      </c>
    </row>
    <row r="125" spans="1:8" x14ac:dyDescent="0.2">
      <c r="A125" s="3">
        <f t="shared" si="1"/>
        <v>45231</v>
      </c>
      <c r="B125" t="str" cm="1">
        <f t="array" ref="B125">INDEX($J$2:$J$5, MOD(ROW()-2,4)+1)</f>
        <v>Chanel</v>
      </c>
      <c r="C125" t="str" cm="1">
        <f t="array" ref="C125">INDEX($L$2:$L$4, INT(MOD(ROW()-2,12)/4)+1)</f>
        <v>Tier 1</v>
      </c>
      <c r="D125">
        <v>105</v>
      </c>
      <c r="E125">
        <v>8330</v>
      </c>
      <c r="F125">
        <v>16</v>
      </c>
      <c r="G125">
        <v>13</v>
      </c>
      <c r="H125" s="6">
        <v>0.36</v>
      </c>
    </row>
    <row r="126" spans="1:8" x14ac:dyDescent="0.2">
      <c r="A126" s="3">
        <f t="shared" si="1"/>
        <v>45231</v>
      </c>
      <c r="B126" t="str" cm="1">
        <f t="array" ref="B126">INDEX($J$2:$J$5, MOD(ROW()-2,4)+1)</f>
        <v>Louis Vuitton</v>
      </c>
      <c r="C126" t="str" cm="1">
        <f t="array" ref="C126">INDEX($L$2:$L$4, INT(MOD(ROW()-2,12)/4)+1)</f>
        <v>New Tier 1</v>
      </c>
      <c r="D126">
        <v>138</v>
      </c>
      <c r="E126">
        <v>12704</v>
      </c>
      <c r="F126">
        <v>27</v>
      </c>
      <c r="G126">
        <v>11</v>
      </c>
      <c r="H126" s="6">
        <v>0.46</v>
      </c>
    </row>
    <row r="127" spans="1:8" x14ac:dyDescent="0.2">
      <c r="A127" s="3">
        <f t="shared" si="1"/>
        <v>45231</v>
      </c>
      <c r="B127" t="str" cm="1">
        <f t="array" ref="B127">INDEX($J$2:$J$5, MOD(ROW()-2,4)+1)</f>
        <v>Dior</v>
      </c>
      <c r="C127" t="str" cm="1">
        <f t="array" ref="C127">INDEX($L$2:$L$4, INT(MOD(ROW()-2,12)/4)+1)</f>
        <v>New Tier 1</v>
      </c>
      <c r="D127">
        <v>117</v>
      </c>
      <c r="E127">
        <v>10230</v>
      </c>
      <c r="F127">
        <v>20</v>
      </c>
      <c r="G127">
        <v>11</v>
      </c>
      <c r="H127" s="6">
        <v>0.36</v>
      </c>
    </row>
    <row r="128" spans="1:8" x14ac:dyDescent="0.2">
      <c r="A128" s="3">
        <f t="shared" si="1"/>
        <v>45231</v>
      </c>
      <c r="B128" t="str" cm="1">
        <f t="array" ref="B128">INDEX($J$2:$J$5, MOD(ROW()-2,4)+1)</f>
        <v>Gucci</v>
      </c>
      <c r="C128" t="str" cm="1">
        <f t="array" ref="C128">INDEX($L$2:$L$4, INT(MOD(ROW()-2,12)/4)+1)</f>
        <v>New Tier 1</v>
      </c>
      <c r="D128">
        <v>95</v>
      </c>
      <c r="E128">
        <v>9138</v>
      </c>
      <c r="F128">
        <v>15</v>
      </c>
      <c r="G128">
        <v>10</v>
      </c>
      <c r="H128" s="6">
        <v>0.22</v>
      </c>
    </row>
    <row r="129" spans="1:8" x14ac:dyDescent="0.2">
      <c r="A129" s="3">
        <f t="shared" si="1"/>
        <v>45231</v>
      </c>
      <c r="B129" t="str" cm="1">
        <f t="array" ref="B129">INDEX($J$2:$J$5, MOD(ROW()-2,4)+1)</f>
        <v>Chanel</v>
      </c>
      <c r="C129" t="str" cm="1">
        <f t="array" ref="C129">INDEX($L$2:$L$4, INT(MOD(ROW()-2,12)/4)+1)</f>
        <v>New Tier 1</v>
      </c>
      <c r="D129">
        <v>80</v>
      </c>
      <c r="E129">
        <v>8634</v>
      </c>
      <c r="F129">
        <v>10</v>
      </c>
      <c r="G129">
        <v>9</v>
      </c>
      <c r="H129" s="6">
        <v>0.23</v>
      </c>
    </row>
    <row r="130" spans="1:8" x14ac:dyDescent="0.2">
      <c r="A130" s="3">
        <f t="shared" ref="A130:A193" si="2">DATE(2023,1+INT((ROW()-2)/12),1)</f>
        <v>45231</v>
      </c>
      <c r="B130" t="str" cm="1">
        <f t="array" ref="B130">INDEX($J$2:$J$5, MOD(ROW()-2,4)+1)</f>
        <v>Louis Vuitton</v>
      </c>
      <c r="C130" t="str" cm="1">
        <f t="array" ref="C130">INDEX($L$2:$L$4, INT(MOD(ROW()-2,12)/4)+1)</f>
        <v>Tier 2</v>
      </c>
      <c r="D130">
        <v>107</v>
      </c>
      <c r="E130">
        <v>12369</v>
      </c>
      <c r="F130">
        <v>20</v>
      </c>
      <c r="G130">
        <v>9</v>
      </c>
      <c r="H130" s="6">
        <v>0.26</v>
      </c>
    </row>
    <row r="131" spans="1:8" x14ac:dyDescent="0.2">
      <c r="A131" s="3">
        <f t="shared" si="2"/>
        <v>45231</v>
      </c>
      <c r="B131" t="str" cm="1">
        <f t="array" ref="B131">INDEX($J$2:$J$5, MOD(ROW()-2,4)+1)</f>
        <v>Dior</v>
      </c>
      <c r="C131" t="str" cm="1">
        <f t="array" ref="C131">INDEX($L$2:$L$4, INT(MOD(ROW()-2,12)/4)+1)</f>
        <v>Tier 2</v>
      </c>
      <c r="D131">
        <v>82</v>
      </c>
      <c r="E131">
        <v>9068</v>
      </c>
      <c r="F131">
        <v>12</v>
      </c>
      <c r="G131">
        <v>9</v>
      </c>
      <c r="H131" s="6">
        <v>0.37</v>
      </c>
    </row>
    <row r="132" spans="1:8" x14ac:dyDescent="0.2">
      <c r="A132" s="3">
        <f t="shared" si="2"/>
        <v>45231</v>
      </c>
      <c r="B132" t="str" cm="1">
        <f t="array" ref="B132">INDEX($J$2:$J$5, MOD(ROW()-2,4)+1)</f>
        <v>Gucci</v>
      </c>
      <c r="C132" t="str" cm="1">
        <f t="array" ref="C132">INDEX($L$2:$L$4, INT(MOD(ROW()-2,12)/4)+1)</f>
        <v>Tier 2</v>
      </c>
      <c r="D132">
        <v>67</v>
      </c>
      <c r="E132">
        <v>8196</v>
      </c>
      <c r="F132">
        <v>10</v>
      </c>
      <c r="G132">
        <v>8</v>
      </c>
      <c r="H132" s="6">
        <v>0.23</v>
      </c>
    </row>
    <row r="133" spans="1:8" x14ac:dyDescent="0.2">
      <c r="A133" s="3">
        <f t="shared" si="2"/>
        <v>45231</v>
      </c>
      <c r="B133" t="str" cm="1">
        <f t="array" ref="B133">INDEX($J$2:$J$5, MOD(ROW()-2,4)+1)</f>
        <v>Chanel</v>
      </c>
      <c r="C133" t="str" cm="1">
        <f t="array" ref="C133">INDEX($L$2:$L$4, INT(MOD(ROW()-2,12)/4)+1)</f>
        <v>Tier 2</v>
      </c>
      <c r="D133">
        <v>65</v>
      </c>
      <c r="E133">
        <v>7171</v>
      </c>
      <c r="F133">
        <v>7</v>
      </c>
      <c r="G133">
        <v>9</v>
      </c>
      <c r="H133" s="6">
        <v>0.35</v>
      </c>
    </row>
    <row r="134" spans="1:8" x14ac:dyDescent="0.2">
      <c r="A134" s="3">
        <f t="shared" si="2"/>
        <v>45261</v>
      </c>
      <c r="B134" t="str" cm="1">
        <f t="array" ref="B134">INDEX($J$2:$J$5, MOD(ROW()-2,4)+1)</f>
        <v>Louis Vuitton</v>
      </c>
      <c r="C134" t="str" cm="1">
        <f t="array" ref="C134">INDEX($L$2:$L$4, INT(MOD(ROW()-2,12)/4)+1)</f>
        <v>Tier 1</v>
      </c>
      <c r="D134">
        <v>160</v>
      </c>
      <c r="E134">
        <v>14102</v>
      </c>
      <c r="F134">
        <v>37</v>
      </c>
      <c r="G134">
        <v>11</v>
      </c>
      <c r="H134" s="6">
        <v>0.35</v>
      </c>
    </row>
    <row r="135" spans="1:8" x14ac:dyDescent="0.2">
      <c r="A135" s="3">
        <f t="shared" si="2"/>
        <v>45261</v>
      </c>
      <c r="B135" t="str" cm="1">
        <f t="array" ref="B135">INDEX($J$2:$J$5, MOD(ROW()-2,4)+1)</f>
        <v>Dior</v>
      </c>
      <c r="C135" t="str" cm="1">
        <f t="array" ref="C135">INDEX($L$2:$L$4, INT(MOD(ROW()-2,12)/4)+1)</f>
        <v>Tier 1</v>
      </c>
      <c r="D135">
        <v>136</v>
      </c>
      <c r="E135">
        <v>10517</v>
      </c>
      <c r="F135">
        <v>28</v>
      </c>
      <c r="G135">
        <v>13</v>
      </c>
      <c r="H135" s="6">
        <v>0.32</v>
      </c>
    </row>
    <row r="136" spans="1:8" x14ac:dyDescent="0.2">
      <c r="A136" s="3">
        <f t="shared" si="2"/>
        <v>45261</v>
      </c>
      <c r="B136" t="str" cm="1">
        <f t="array" ref="B136">INDEX($J$2:$J$5, MOD(ROW()-2,4)+1)</f>
        <v>Gucci</v>
      </c>
      <c r="C136" t="str" cm="1">
        <f t="array" ref="C136">INDEX($L$2:$L$4, INT(MOD(ROW()-2,12)/4)+1)</f>
        <v>Tier 1</v>
      </c>
      <c r="D136">
        <v>114</v>
      </c>
      <c r="E136">
        <v>9111</v>
      </c>
      <c r="F136">
        <v>19</v>
      </c>
      <c r="G136">
        <v>13</v>
      </c>
      <c r="H136" s="6">
        <v>0.43</v>
      </c>
    </row>
    <row r="137" spans="1:8" x14ac:dyDescent="0.2">
      <c r="A137" s="3">
        <f t="shared" si="2"/>
        <v>45261</v>
      </c>
      <c r="B137" t="str" cm="1">
        <f t="array" ref="B137">INDEX($J$2:$J$5, MOD(ROW()-2,4)+1)</f>
        <v>Chanel</v>
      </c>
      <c r="C137" t="str" cm="1">
        <f t="array" ref="C137">INDEX($L$2:$L$4, INT(MOD(ROW()-2,12)/4)+1)</f>
        <v>Tier 1</v>
      </c>
      <c r="D137">
        <v>94</v>
      </c>
      <c r="E137">
        <v>9045</v>
      </c>
      <c r="F137">
        <v>14</v>
      </c>
      <c r="G137">
        <v>10</v>
      </c>
      <c r="H137" s="6">
        <v>0.26</v>
      </c>
    </row>
    <row r="138" spans="1:8" x14ac:dyDescent="0.2">
      <c r="A138" s="3">
        <f t="shared" si="2"/>
        <v>45261</v>
      </c>
      <c r="B138" t="str" cm="1">
        <f t="array" ref="B138">INDEX($J$2:$J$5, MOD(ROW()-2,4)+1)</f>
        <v>Louis Vuitton</v>
      </c>
      <c r="C138" t="str" cm="1">
        <f t="array" ref="C138">INDEX($L$2:$L$4, INT(MOD(ROW()-2,12)/4)+1)</f>
        <v>New Tier 1</v>
      </c>
      <c r="D138">
        <v>141</v>
      </c>
      <c r="E138">
        <v>13558</v>
      </c>
      <c r="F138">
        <v>30</v>
      </c>
      <c r="G138">
        <v>10</v>
      </c>
      <c r="H138" s="6">
        <v>0.32</v>
      </c>
    </row>
    <row r="139" spans="1:8" x14ac:dyDescent="0.2">
      <c r="A139" s="3">
        <f t="shared" si="2"/>
        <v>45261</v>
      </c>
      <c r="B139" t="str" cm="1">
        <f t="array" ref="B139">INDEX($J$2:$J$5, MOD(ROW()-2,4)+1)</f>
        <v>Dior</v>
      </c>
      <c r="C139" t="str" cm="1">
        <f t="array" ref="C139">INDEX($L$2:$L$4, INT(MOD(ROW()-2,12)/4)+1)</f>
        <v>New Tier 1</v>
      </c>
      <c r="D139">
        <v>117</v>
      </c>
      <c r="E139">
        <v>10279</v>
      </c>
      <c r="F139">
        <v>21</v>
      </c>
      <c r="G139">
        <v>11</v>
      </c>
      <c r="H139" s="6">
        <v>0.21</v>
      </c>
    </row>
    <row r="140" spans="1:8" x14ac:dyDescent="0.2">
      <c r="A140" s="3">
        <f t="shared" si="2"/>
        <v>45261</v>
      </c>
      <c r="B140" t="str" cm="1">
        <f t="array" ref="B140">INDEX($J$2:$J$5, MOD(ROW()-2,4)+1)</f>
        <v>Gucci</v>
      </c>
      <c r="C140" t="str" cm="1">
        <f t="array" ref="C140">INDEX($L$2:$L$4, INT(MOD(ROW()-2,12)/4)+1)</f>
        <v>New Tier 1</v>
      </c>
      <c r="D140">
        <v>103</v>
      </c>
      <c r="E140">
        <v>8837</v>
      </c>
      <c r="F140">
        <v>17</v>
      </c>
      <c r="G140">
        <v>12</v>
      </c>
      <c r="H140" s="6">
        <v>0.31</v>
      </c>
    </row>
    <row r="141" spans="1:8" x14ac:dyDescent="0.2">
      <c r="A141" s="3">
        <f t="shared" si="2"/>
        <v>45261</v>
      </c>
      <c r="B141" t="str" cm="1">
        <f t="array" ref="B141">INDEX($J$2:$J$5, MOD(ROW()-2,4)+1)</f>
        <v>Chanel</v>
      </c>
      <c r="C141" t="str" cm="1">
        <f t="array" ref="C141">INDEX($L$2:$L$4, INT(MOD(ROW()-2,12)/4)+1)</f>
        <v>New Tier 1</v>
      </c>
      <c r="D141">
        <v>79</v>
      </c>
      <c r="E141">
        <v>7923</v>
      </c>
      <c r="F141">
        <v>11</v>
      </c>
      <c r="G141">
        <v>10</v>
      </c>
      <c r="H141" s="6">
        <v>0.31</v>
      </c>
    </row>
    <row r="142" spans="1:8" x14ac:dyDescent="0.2">
      <c r="A142" s="3">
        <f t="shared" si="2"/>
        <v>45261</v>
      </c>
      <c r="B142" t="str" cm="1">
        <f t="array" ref="B142">INDEX($J$2:$J$5, MOD(ROW()-2,4)+1)</f>
        <v>Louis Vuitton</v>
      </c>
      <c r="C142" t="str" cm="1">
        <f t="array" ref="C142">INDEX($L$2:$L$4, INT(MOD(ROW()-2,12)/4)+1)</f>
        <v>Tier 2</v>
      </c>
      <c r="D142">
        <v>103</v>
      </c>
      <c r="E142">
        <v>12343</v>
      </c>
      <c r="F142">
        <v>17</v>
      </c>
      <c r="G142">
        <v>8</v>
      </c>
      <c r="H142" s="6">
        <v>0.46</v>
      </c>
    </row>
    <row r="143" spans="1:8" x14ac:dyDescent="0.2">
      <c r="A143" s="3">
        <f t="shared" si="2"/>
        <v>45261</v>
      </c>
      <c r="B143" t="str" cm="1">
        <f t="array" ref="B143">INDEX($J$2:$J$5, MOD(ROW()-2,4)+1)</f>
        <v>Dior</v>
      </c>
      <c r="C143" t="str" cm="1">
        <f t="array" ref="C143">INDEX($L$2:$L$4, INT(MOD(ROW()-2,12)/4)+1)</f>
        <v>Tier 2</v>
      </c>
      <c r="D143">
        <v>85</v>
      </c>
      <c r="E143">
        <v>9806</v>
      </c>
      <c r="F143">
        <v>13</v>
      </c>
      <c r="G143">
        <v>9</v>
      </c>
      <c r="H143" s="6">
        <v>0.45</v>
      </c>
    </row>
    <row r="144" spans="1:8" x14ac:dyDescent="0.2">
      <c r="A144" s="3">
        <f t="shared" si="2"/>
        <v>45261</v>
      </c>
      <c r="B144" t="str" cm="1">
        <f t="array" ref="B144">INDEX($J$2:$J$5, MOD(ROW()-2,4)+1)</f>
        <v>Gucci</v>
      </c>
      <c r="C144" t="str" cm="1">
        <f t="array" ref="C144">INDEX($L$2:$L$4, INT(MOD(ROW()-2,12)/4)+1)</f>
        <v>Tier 2</v>
      </c>
      <c r="D144">
        <v>77</v>
      </c>
      <c r="E144">
        <v>7937</v>
      </c>
      <c r="F144">
        <v>10</v>
      </c>
      <c r="G144">
        <v>10</v>
      </c>
      <c r="H144" s="6">
        <v>0.45</v>
      </c>
    </row>
    <row r="145" spans="1:8" x14ac:dyDescent="0.2">
      <c r="A145" s="3">
        <f t="shared" si="2"/>
        <v>45261</v>
      </c>
      <c r="B145" t="str" cm="1">
        <f t="array" ref="B145">INDEX($J$2:$J$5, MOD(ROW()-2,4)+1)</f>
        <v>Chanel</v>
      </c>
      <c r="C145" t="str" cm="1">
        <f t="array" ref="C145">INDEX($L$2:$L$4, INT(MOD(ROW()-2,12)/4)+1)</f>
        <v>Tier 2</v>
      </c>
      <c r="D145">
        <v>61</v>
      </c>
      <c r="E145">
        <v>7245</v>
      </c>
      <c r="F145">
        <v>7</v>
      </c>
      <c r="G145">
        <v>8</v>
      </c>
      <c r="H145" s="6">
        <v>0.44</v>
      </c>
    </row>
    <row r="146" spans="1:8" x14ac:dyDescent="0.2">
      <c r="A146" s="3">
        <f t="shared" si="2"/>
        <v>45292</v>
      </c>
      <c r="B146" t="str" cm="1">
        <f t="array" ref="B146">INDEX($J$2:$J$5, MOD(ROW()-2,4)+1)</f>
        <v>Louis Vuitton</v>
      </c>
      <c r="C146" t="str" cm="1">
        <f t="array" ref="C146">INDEX($L$2:$L$4, INT(MOD(ROW()-2,12)/4)+1)</f>
        <v>Tier 1</v>
      </c>
      <c r="D146">
        <v>182</v>
      </c>
      <c r="E146">
        <v>13626</v>
      </c>
      <c r="F146">
        <v>40</v>
      </c>
      <c r="G146">
        <v>13</v>
      </c>
      <c r="H146" s="6">
        <v>0.36</v>
      </c>
    </row>
    <row r="147" spans="1:8" x14ac:dyDescent="0.2">
      <c r="A147" s="3">
        <f t="shared" si="2"/>
        <v>45292</v>
      </c>
      <c r="B147" t="str" cm="1">
        <f t="array" ref="B147">INDEX($J$2:$J$5, MOD(ROW()-2,4)+1)</f>
        <v>Dior</v>
      </c>
      <c r="C147" t="str" cm="1">
        <f t="array" ref="C147">INDEX($L$2:$L$4, INT(MOD(ROW()-2,12)/4)+1)</f>
        <v>Tier 1</v>
      </c>
      <c r="D147">
        <v>134</v>
      </c>
      <c r="E147">
        <v>11470</v>
      </c>
      <c r="F147">
        <v>27</v>
      </c>
      <c r="G147">
        <v>12</v>
      </c>
      <c r="H147" s="6">
        <v>0.32</v>
      </c>
    </row>
    <row r="148" spans="1:8" x14ac:dyDescent="0.2">
      <c r="A148" s="3">
        <f t="shared" si="2"/>
        <v>45292</v>
      </c>
      <c r="B148" t="str" cm="1">
        <f t="array" ref="B148">INDEX($J$2:$J$5, MOD(ROW()-2,4)+1)</f>
        <v>Gucci</v>
      </c>
      <c r="C148" t="str" cm="1">
        <f t="array" ref="C148">INDEX($L$2:$L$4, INT(MOD(ROW()-2,12)/4)+1)</f>
        <v>Tier 1</v>
      </c>
      <c r="D148">
        <v>106</v>
      </c>
      <c r="E148">
        <v>9433</v>
      </c>
      <c r="F148">
        <v>19</v>
      </c>
      <c r="G148">
        <v>11</v>
      </c>
      <c r="H148" s="6">
        <v>0.33</v>
      </c>
    </row>
    <row r="149" spans="1:8" x14ac:dyDescent="0.2">
      <c r="A149" s="3">
        <f t="shared" si="2"/>
        <v>45292</v>
      </c>
      <c r="B149" t="str" cm="1">
        <f t="array" ref="B149">INDEX($J$2:$J$5, MOD(ROW()-2,4)+1)</f>
        <v>Chanel</v>
      </c>
      <c r="C149" t="str" cm="1">
        <f t="array" ref="C149">INDEX($L$2:$L$4, INT(MOD(ROW()-2,12)/4)+1)</f>
        <v>Tier 1</v>
      </c>
      <c r="D149">
        <v>97</v>
      </c>
      <c r="E149">
        <v>8603</v>
      </c>
      <c r="F149">
        <v>15</v>
      </c>
      <c r="G149">
        <v>11</v>
      </c>
      <c r="H149" s="6">
        <v>0.32</v>
      </c>
    </row>
    <row r="150" spans="1:8" x14ac:dyDescent="0.2">
      <c r="A150" s="3">
        <f t="shared" si="2"/>
        <v>45292</v>
      </c>
      <c r="B150" t="str" cm="1">
        <f t="array" ref="B150">INDEX($J$2:$J$5, MOD(ROW()-2,4)+1)</f>
        <v>Louis Vuitton</v>
      </c>
      <c r="C150" t="str" cm="1">
        <f t="array" ref="C150">INDEX($L$2:$L$4, INT(MOD(ROW()-2,12)/4)+1)</f>
        <v>New Tier 1</v>
      </c>
      <c r="D150">
        <v>141</v>
      </c>
      <c r="E150">
        <v>12986</v>
      </c>
      <c r="F150">
        <v>29</v>
      </c>
      <c r="G150">
        <v>11</v>
      </c>
      <c r="H150" s="6">
        <v>0.22</v>
      </c>
    </row>
    <row r="151" spans="1:8" x14ac:dyDescent="0.2">
      <c r="A151" s="3">
        <f t="shared" si="2"/>
        <v>45292</v>
      </c>
      <c r="B151" t="str" cm="1">
        <f t="array" ref="B151">INDEX($J$2:$J$5, MOD(ROW()-2,4)+1)</f>
        <v>Dior</v>
      </c>
      <c r="C151" t="str" cm="1">
        <f t="array" ref="C151">INDEX($L$2:$L$4, INT(MOD(ROW()-2,12)/4)+1)</f>
        <v>New Tier 1</v>
      </c>
      <c r="D151">
        <v>118</v>
      </c>
      <c r="E151">
        <v>10298</v>
      </c>
      <c r="F151">
        <v>22</v>
      </c>
      <c r="G151">
        <v>11</v>
      </c>
      <c r="H151" s="6">
        <v>0.49</v>
      </c>
    </row>
    <row r="152" spans="1:8" x14ac:dyDescent="0.2">
      <c r="A152" s="3">
        <f t="shared" si="2"/>
        <v>45292</v>
      </c>
      <c r="B152" t="str" cm="1">
        <f t="array" ref="B152">INDEX($J$2:$J$5, MOD(ROW()-2,4)+1)</f>
        <v>Gucci</v>
      </c>
      <c r="C152" t="str" cm="1">
        <f t="array" ref="C152">INDEX($L$2:$L$4, INT(MOD(ROW()-2,12)/4)+1)</f>
        <v>New Tier 1</v>
      </c>
      <c r="D152">
        <v>104</v>
      </c>
      <c r="E152">
        <v>8837</v>
      </c>
      <c r="F152">
        <v>18</v>
      </c>
      <c r="G152">
        <v>12</v>
      </c>
      <c r="H152" s="6">
        <v>0.42</v>
      </c>
    </row>
    <row r="153" spans="1:8" x14ac:dyDescent="0.2">
      <c r="A153" s="3">
        <f t="shared" si="2"/>
        <v>45292</v>
      </c>
      <c r="B153" t="str" cm="1">
        <f t="array" ref="B153">INDEX($J$2:$J$5, MOD(ROW()-2,4)+1)</f>
        <v>Chanel</v>
      </c>
      <c r="C153" t="str" cm="1">
        <f t="array" ref="C153">INDEX($L$2:$L$4, INT(MOD(ROW()-2,12)/4)+1)</f>
        <v>New Tier 1</v>
      </c>
      <c r="D153">
        <v>79</v>
      </c>
      <c r="E153">
        <v>8552</v>
      </c>
      <c r="F153">
        <v>10</v>
      </c>
      <c r="G153">
        <v>9</v>
      </c>
      <c r="H153" s="6">
        <v>0.25</v>
      </c>
    </row>
    <row r="154" spans="1:8" x14ac:dyDescent="0.2">
      <c r="A154" s="3">
        <f t="shared" si="2"/>
        <v>45292</v>
      </c>
      <c r="B154" t="str" cm="1">
        <f t="array" ref="B154">INDEX($J$2:$J$5, MOD(ROW()-2,4)+1)</f>
        <v>Louis Vuitton</v>
      </c>
      <c r="C154" t="str" cm="1">
        <f t="array" ref="C154">INDEX($L$2:$L$4, INT(MOD(ROW()-2,12)/4)+1)</f>
        <v>Tier 2</v>
      </c>
      <c r="D154">
        <v>108</v>
      </c>
      <c r="E154">
        <v>11735</v>
      </c>
      <c r="F154">
        <v>19</v>
      </c>
      <c r="G154">
        <v>9</v>
      </c>
      <c r="H154" s="6">
        <v>0.3</v>
      </c>
    </row>
    <row r="155" spans="1:8" x14ac:dyDescent="0.2">
      <c r="A155" s="3">
        <f t="shared" si="2"/>
        <v>45292</v>
      </c>
      <c r="B155" t="str" cm="1">
        <f t="array" ref="B155">INDEX($J$2:$J$5, MOD(ROW()-2,4)+1)</f>
        <v>Dior</v>
      </c>
      <c r="C155" t="str" cm="1">
        <f t="array" ref="C155">INDEX($L$2:$L$4, INT(MOD(ROW()-2,12)/4)+1)</f>
        <v>Tier 2</v>
      </c>
      <c r="D155">
        <v>81</v>
      </c>
      <c r="E155">
        <v>9759</v>
      </c>
      <c r="F155">
        <v>13</v>
      </c>
      <c r="G155">
        <v>8</v>
      </c>
      <c r="H155" s="6">
        <v>0.48</v>
      </c>
    </row>
    <row r="156" spans="1:8" x14ac:dyDescent="0.2">
      <c r="A156" s="3">
        <f t="shared" si="2"/>
        <v>45292</v>
      </c>
      <c r="B156" t="str" cm="1">
        <f t="array" ref="B156">INDEX($J$2:$J$5, MOD(ROW()-2,4)+1)</f>
        <v>Gucci</v>
      </c>
      <c r="C156" t="str" cm="1">
        <f t="array" ref="C156">INDEX($L$2:$L$4, INT(MOD(ROW()-2,12)/4)+1)</f>
        <v>Tier 2</v>
      </c>
      <c r="D156">
        <v>77</v>
      </c>
      <c r="E156">
        <v>7642</v>
      </c>
      <c r="F156">
        <v>11</v>
      </c>
      <c r="G156">
        <v>10</v>
      </c>
      <c r="H156" s="6">
        <v>0.37</v>
      </c>
    </row>
    <row r="157" spans="1:8" x14ac:dyDescent="0.2">
      <c r="A157" s="3">
        <f t="shared" si="2"/>
        <v>45292</v>
      </c>
      <c r="B157" t="str" cm="1">
        <f t="array" ref="B157">INDEX($J$2:$J$5, MOD(ROW()-2,4)+1)</f>
        <v>Chanel</v>
      </c>
      <c r="C157" t="str" cm="1">
        <f t="array" ref="C157">INDEX($L$2:$L$4, INT(MOD(ROW()-2,12)/4)+1)</f>
        <v>Tier 2</v>
      </c>
      <c r="D157">
        <v>67</v>
      </c>
      <c r="E157">
        <v>7460</v>
      </c>
      <c r="F157">
        <v>8</v>
      </c>
      <c r="G157">
        <v>9</v>
      </c>
      <c r="H157" s="6">
        <v>0.26</v>
      </c>
    </row>
    <row r="158" spans="1:8" x14ac:dyDescent="0.2">
      <c r="A158" s="3">
        <f t="shared" si="2"/>
        <v>45323</v>
      </c>
      <c r="B158" t="str" cm="1">
        <f t="array" ref="B158">INDEX($J$2:$J$5, MOD(ROW()-2,4)+1)</f>
        <v>Louis Vuitton</v>
      </c>
      <c r="C158" t="str" cm="1">
        <f t="array" ref="C158">INDEX($L$2:$L$4, INT(MOD(ROW()-2,12)/4)+1)</f>
        <v>Tier 1</v>
      </c>
      <c r="D158">
        <v>184</v>
      </c>
      <c r="E158">
        <v>13966</v>
      </c>
      <c r="F158">
        <v>43</v>
      </c>
      <c r="G158">
        <v>13</v>
      </c>
      <c r="H158" s="6">
        <v>0.47</v>
      </c>
    </row>
    <row r="159" spans="1:8" x14ac:dyDescent="0.2">
      <c r="A159" s="3">
        <f t="shared" si="2"/>
        <v>45323</v>
      </c>
      <c r="B159" t="str" cm="1">
        <f t="array" ref="B159">INDEX($J$2:$J$5, MOD(ROW()-2,4)+1)</f>
        <v>Dior</v>
      </c>
      <c r="C159" t="str" cm="1">
        <f t="array" ref="C159">INDEX($L$2:$L$4, INT(MOD(ROW()-2,12)/4)+1)</f>
        <v>Tier 1</v>
      </c>
      <c r="D159">
        <v>126</v>
      </c>
      <c r="E159">
        <v>10879</v>
      </c>
      <c r="F159">
        <v>25</v>
      </c>
      <c r="G159">
        <v>12</v>
      </c>
      <c r="H159" s="6">
        <v>0.45</v>
      </c>
    </row>
    <row r="160" spans="1:8" x14ac:dyDescent="0.2">
      <c r="A160" s="3">
        <f t="shared" si="2"/>
        <v>45323</v>
      </c>
      <c r="B160" t="str" cm="1">
        <f t="array" ref="B160">INDEX($J$2:$J$5, MOD(ROW()-2,4)+1)</f>
        <v>Gucci</v>
      </c>
      <c r="C160" t="str" cm="1">
        <f t="array" ref="C160">INDEX($L$2:$L$4, INT(MOD(ROW()-2,12)/4)+1)</f>
        <v>Tier 1</v>
      </c>
      <c r="D160">
        <v>109</v>
      </c>
      <c r="E160">
        <v>8969</v>
      </c>
      <c r="F160">
        <v>19</v>
      </c>
      <c r="G160">
        <v>12</v>
      </c>
      <c r="H160" s="6">
        <v>0.21</v>
      </c>
    </row>
    <row r="161" spans="1:8" x14ac:dyDescent="0.2">
      <c r="A161" s="3">
        <f t="shared" si="2"/>
        <v>45323</v>
      </c>
      <c r="B161" t="str" cm="1">
        <f t="array" ref="B161">INDEX($J$2:$J$5, MOD(ROW()-2,4)+1)</f>
        <v>Chanel</v>
      </c>
      <c r="C161" t="str" cm="1">
        <f t="array" ref="C161">INDEX($L$2:$L$4, INT(MOD(ROW()-2,12)/4)+1)</f>
        <v>Tier 1</v>
      </c>
      <c r="D161">
        <v>96</v>
      </c>
      <c r="E161">
        <v>8770</v>
      </c>
      <c r="F161">
        <v>14</v>
      </c>
      <c r="G161">
        <v>11</v>
      </c>
      <c r="H161" s="6">
        <v>0.39</v>
      </c>
    </row>
    <row r="162" spans="1:8" x14ac:dyDescent="0.2">
      <c r="A162" s="3">
        <f t="shared" si="2"/>
        <v>45323</v>
      </c>
      <c r="B162" t="str" cm="1">
        <f t="array" ref="B162">INDEX($J$2:$J$5, MOD(ROW()-2,4)+1)</f>
        <v>Louis Vuitton</v>
      </c>
      <c r="C162" t="str" cm="1">
        <f t="array" ref="C162">INDEX($L$2:$L$4, INT(MOD(ROW()-2,12)/4)+1)</f>
        <v>New Tier 1</v>
      </c>
      <c r="D162">
        <v>153</v>
      </c>
      <c r="E162">
        <v>13175</v>
      </c>
      <c r="F162">
        <v>33</v>
      </c>
      <c r="G162">
        <v>12</v>
      </c>
      <c r="H162" s="6">
        <v>0.42</v>
      </c>
    </row>
    <row r="163" spans="1:8" x14ac:dyDescent="0.2">
      <c r="A163" s="3">
        <f t="shared" si="2"/>
        <v>45323</v>
      </c>
      <c r="B163" t="str" cm="1">
        <f t="array" ref="B163">INDEX($J$2:$J$5, MOD(ROW()-2,4)+1)</f>
        <v>Dior</v>
      </c>
      <c r="C163" t="str" cm="1">
        <f t="array" ref="C163">INDEX($L$2:$L$4, INT(MOD(ROW()-2,12)/4)+1)</f>
        <v>New Tier 1</v>
      </c>
      <c r="D163">
        <v>110</v>
      </c>
      <c r="E163">
        <v>10801</v>
      </c>
      <c r="F163">
        <v>19</v>
      </c>
      <c r="G163">
        <v>10</v>
      </c>
      <c r="H163" s="6">
        <v>0.41</v>
      </c>
    </row>
    <row r="164" spans="1:8" x14ac:dyDescent="0.2">
      <c r="A164" s="3">
        <f t="shared" si="2"/>
        <v>45323</v>
      </c>
      <c r="B164" t="str" cm="1">
        <f t="array" ref="B164">INDEX($J$2:$J$5, MOD(ROW()-2,4)+1)</f>
        <v>Gucci</v>
      </c>
      <c r="C164" t="str" cm="1">
        <f t="array" ref="C164">INDEX($L$2:$L$4, INT(MOD(ROW()-2,12)/4)+1)</f>
        <v>New Tier 1</v>
      </c>
      <c r="D164">
        <v>101</v>
      </c>
      <c r="E164">
        <v>8486</v>
      </c>
      <c r="F164">
        <v>16</v>
      </c>
      <c r="G164">
        <v>12</v>
      </c>
      <c r="H164" s="6">
        <v>0.47</v>
      </c>
    </row>
    <row r="165" spans="1:8" x14ac:dyDescent="0.2">
      <c r="A165" s="3">
        <f t="shared" si="2"/>
        <v>45323</v>
      </c>
      <c r="B165" t="str" cm="1">
        <f t="array" ref="B165">INDEX($J$2:$J$5, MOD(ROW()-2,4)+1)</f>
        <v>Chanel</v>
      </c>
      <c r="C165" t="str" cm="1">
        <f t="array" ref="C165">INDEX($L$2:$L$4, INT(MOD(ROW()-2,12)/4)+1)</f>
        <v>New Tier 1</v>
      </c>
      <c r="D165">
        <v>84</v>
      </c>
      <c r="E165">
        <v>8273</v>
      </c>
      <c r="F165">
        <v>11</v>
      </c>
      <c r="G165">
        <v>10</v>
      </c>
      <c r="H165" s="6">
        <v>0.45</v>
      </c>
    </row>
    <row r="166" spans="1:8" x14ac:dyDescent="0.2">
      <c r="A166" s="3">
        <f t="shared" si="2"/>
        <v>45323</v>
      </c>
      <c r="B166" t="str" cm="1">
        <f t="array" ref="B166">INDEX($J$2:$J$5, MOD(ROW()-2,4)+1)</f>
        <v>Louis Vuitton</v>
      </c>
      <c r="C166" t="str" cm="1">
        <f t="array" ref="C166">INDEX($L$2:$L$4, INT(MOD(ROW()-2,12)/4)+1)</f>
        <v>Tier 2</v>
      </c>
      <c r="D166">
        <v>113</v>
      </c>
      <c r="E166">
        <v>12098</v>
      </c>
      <c r="F166">
        <v>20</v>
      </c>
      <c r="G166">
        <v>9</v>
      </c>
      <c r="H166" s="6">
        <v>0.45</v>
      </c>
    </row>
    <row r="167" spans="1:8" x14ac:dyDescent="0.2">
      <c r="A167" s="3">
        <f t="shared" si="2"/>
        <v>45323</v>
      </c>
      <c r="B167" t="str" cm="1">
        <f t="array" ref="B167">INDEX($J$2:$J$5, MOD(ROW()-2,4)+1)</f>
        <v>Dior</v>
      </c>
      <c r="C167" t="str" cm="1">
        <f t="array" ref="C167">INDEX($L$2:$L$4, INT(MOD(ROW()-2,12)/4)+1)</f>
        <v>Tier 2</v>
      </c>
      <c r="D167">
        <v>73</v>
      </c>
      <c r="E167">
        <v>9234</v>
      </c>
      <c r="F167">
        <v>11</v>
      </c>
      <c r="G167">
        <v>8</v>
      </c>
      <c r="H167" s="6">
        <v>0.5</v>
      </c>
    </row>
    <row r="168" spans="1:8" x14ac:dyDescent="0.2">
      <c r="A168" s="3">
        <f t="shared" si="2"/>
        <v>45323</v>
      </c>
      <c r="B168" t="str" cm="1">
        <f t="array" ref="B168">INDEX($J$2:$J$5, MOD(ROW()-2,4)+1)</f>
        <v>Gucci</v>
      </c>
      <c r="C168" t="str" cm="1">
        <f t="array" ref="C168">INDEX($L$2:$L$4, INT(MOD(ROW()-2,12)/4)+1)</f>
        <v>Tier 2</v>
      </c>
      <c r="D168">
        <v>64</v>
      </c>
      <c r="E168">
        <v>7848</v>
      </c>
      <c r="F168">
        <v>8</v>
      </c>
      <c r="G168">
        <v>8</v>
      </c>
      <c r="H168" s="6">
        <v>0.24</v>
      </c>
    </row>
    <row r="169" spans="1:8" x14ac:dyDescent="0.2">
      <c r="A169" s="3">
        <f t="shared" si="2"/>
        <v>45323</v>
      </c>
      <c r="B169" t="str" cm="1">
        <f t="array" ref="B169">INDEX($J$2:$J$5, MOD(ROW()-2,4)+1)</f>
        <v>Chanel</v>
      </c>
      <c r="C169" t="str" cm="1">
        <f t="array" ref="C169">INDEX($L$2:$L$4, INT(MOD(ROW()-2,12)/4)+1)</f>
        <v>Tier 2</v>
      </c>
      <c r="D169">
        <v>67</v>
      </c>
      <c r="E169">
        <v>7643</v>
      </c>
      <c r="F169">
        <v>7</v>
      </c>
      <c r="G169">
        <v>9</v>
      </c>
      <c r="H169" s="6">
        <v>0.34</v>
      </c>
    </row>
    <row r="170" spans="1:8" x14ac:dyDescent="0.2">
      <c r="A170" s="3">
        <f t="shared" si="2"/>
        <v>45352</v>
      </c>
      <c r="B170" t="str" cm="1">
        <f t="array" ref="B170">INDEX($J$2:$J$5, MOD(ROW()-2,4)+1)</f>
        <v>Louis Vuitton</v>
      </c>
      <c r="C170" t="str" cm="1">
        <f t="array" ref="C170">INDEX($L$2:$L$4, INT(MOD(ROW()-2,12)/4)+1)</f>
        <v>Tier 1</v>
      </c>
      <c r="D170">
        <v>167</v>
      </c>
      <c r="E170">
        <v>13372</v>
      </c>
      <c r="F170">
        <v>37</v>
      </c>
      <c r="G170">
        <v>12</v>
      </c>
      <c r="H170" s="6">
        <v>0.47</v>
      </c>
    </row>
    <row r="171" spans="1:8" x14ac:dyDescent="0.2">
      <c r="A171" s="3">
        <f t="shared" si="2"/>
        <v>45352</v>
      </c>
      <c r="B171" t="str" cm="1">
        <f t="array" ref="B171">INDEX($J$2:$J$5, MOD(ROW()-2,4)+1)</f>
        <v>Dior</v>
      </c>
      <c r="C171" t="str" cm="1">
        <f t="array" ref="C171">INDEX($L$2:$L$4, INT(MOD(ROW()-2,12)/4)+1)</f>
        <v>Tier 1</v>
      </c>
      <c r="D171">
        <v>122</v>
      </c>
      <c r="E171">
        <v>10645</v>
      </c>
      <c r="F171">
        <v>24</v>
      </c>
      <c r="G171">
        <v>11</v>
      </c>
      <c r="H171" s="6">
        <v>0.45</v>
      </c>
    </row>
    <row r="172" spans="1:8" x14ac:dyDescent="0.2">
      <c r="A172" s="3">
        <f t="shared" si="2"/>
        <v>45352</v>
      </c>
      <c r="B172" t="str" cm="1">
        <f t="array" ref="B172">INDEX($J$2:$J$5, MOD(ROW()-2,4)+1)</f>
        <v>Gucci</v>
      </c>
      <c r="C172" t="str" cm="1">
        <f t="array" ref="C172">INDEX($L$2:$L$4, INT(MOD(ROW()-2,12)/4)+1)</f>
        <v>Tier 1</v>
      </c>
      <c r="D172">
        <v>105</v>
      </c>
      <c r="E172">
        <v>9437</v>
      </c>
      <c r="F172">
        <v>17</v>
      </c>
      <c r="G172">
        <v>11</v>
      </c>
      <c r="H172" s="6">
        <v>0.34</v>
      </c>
    </row>
    <row r="173" spans="1:8" x14ac:dyDescent="0.2">
      <c r="A173" s="3">
        <f t="shared" si="2"/>
        <v>45352</v>
      </c>
      <c r="B173" t="str" cm="1">
        <f t="array" ref="B173">INDEX($J$2:$J$5, MOD(ROW()-2,4)+1)</f>
        <v>Chanel</v>
      </c>
      <c r="C173" t="str" cm="1">
        <f t="array" ref="C173">INDEX($L$2:$L$4, INT(MOD(ROW()-2,12)/4)+1)</f>
        <v>Tier 1</v>
      </c>
      <c r="D173">
        <v>96</v>
      </c>
      <c r="E173">
        <v>8629</v>
      </c>
      <c r="F173">
        <v>13</v>
      </c>
      <c r="G173">
        <v>11</v>
      </c>
      <c r="H173" s="6">
        <v>0.26</v>
      </c>
    </row>
    <row r="174" spans="1:8" x14ac:dyDescent="0.2">
      <c r="A174" s="3">
        <f t="shared" si="2"/>
        <v>45352</v>
      </c>
      <c r="B174" t="str" cm="1">
        <f t="array" ref="B174">INDEX($J$2:$J$5, MOD(ROW()-2,4)+1)</f>
        <v>Louis Vuitton</v>
      </c>
      <c r="C174" t="str" cm="1">
        <f t="array" ref="C174">INDEX($L$2:$L$4, INT(MOD(ROW()-2,12)/4)+1)</f>
        <v>New Tier 1</v>
      </c>
      <c r="D174">
        <v>148</v>
      </c>
      <c r="E174">
        <v>13145</v>
      </c>
      <c r="F174">
        <v>28</v>
      </c>
      <c r="G174">
        <v>11</v>
      </c>
      <c r="H174" s="6">
        <v>0.22</v>
      </c>
    </row>
    <row r="175" spans="1:8" x14ac:dyDescent="0.2">
      <c r="A175" s="3">
        <f t="shared" si="2"/>
        <v>45352</v>
      </c>
      <c r="B175" t="str" cm="1">
        <f t="array" ref="B175">INDEX($J$2:$J$5, MOD(ROW()-2,4)+1)</f>
        <v>Dior</v>
      </c>
      <c r="C175" t="str" cm="1">
        <f t="array" ref="C175">INDEX($L$2:$L$4, INT(MOD(ROW()-2,12)/4)+1)</f>
        <v>New Tier 1</v>
      </c>
      <c r="D175">
        <v>103</v>
      </c>
      <c r="E175">
        <v>9985</v>
      </c>
      <c r="F175">
        <v>18</v>
      </c>
      <c r="G175">
        <v>10</v>
      </c>
      <c r="H175" s="6">
        <v>0.43</v>
      </c>
    </row>
    <row r="176" spans="1:8" x14ac:dyDescent="0.2">
      <c r="A176" s="3">
        <f t="shared" si="2"/>
        <v>45352</v>
      </c>
      <c r="B176" t="str" cm="1">
        <f t="array" ref="B176">INDEX($J$2:$J$5, MOD(ROW()-2,4)+1)</f>
        <v>Gucci</v>
      </c>
      <c r="C176" t="str" cm="1">
        <f t="array" ref="C176">INDEX($L$2:$L$4, INT(MOD(ROW()-2,12)/4)+1)</f>
        <v>New Tier 1</v>
      </c>
      <c r="D176">
        <v>94</v>
      </c>
      <c r="E176">
        <v>8781</v>
      </c>
      <c r="F176">
        <v>15</v>
      </c>
      <c r="G176">
        <v>11</v>
      </c>
      <c r="H176" s="6">
        <v>0.5</v>
      </c>
    </row>
    <row r="177" spans="1:8" x14ac:dyDescent="0.2">
      <c r="A177" s="3">
        <f t="shared" si="2"/>
        <v>45352</v>
      </c>
      <c r="B177" t="str" cm="1">
        <f t="array" ref="B177">INDEX($J$2:$J$5, MOD(ROW()-2,4)+1)</f>
        <v>Chanel</v>
      </c>
      <c r="C177" t="str" cm="1">
        <f t="array" ref="C177">INDEX($L$2:$L$4, INT(MOD(ROW()-2,12)/4)+1)</f>
        <v>New Tier 1</v>
      </c>
      <c r="D177">
        <v>85</v>
      </c>
      <c r="E177">
        <v>7942</v>
      </c>
      <c r="F177">
        <v>12</v>
      </c>
      <c r="G177">
        <v>11</v>
      </c>
      <c r="H177" s="6">
        <v>0.4</v>
      </c>
    </row>
    <row r="178" spans="1:8" x14ac:dyDescent="0.2">
      <c r="A178" s="3">
        <f t="shared" si="2"/>
        <v>45352</v>
      </c>
      <c r="B178" t="str" cm="1">
        <f t="array" ref="B178">INDEX($J$2:$J$5, MOD(ROW()-2,4)+1)</f>
        <v>Louis Vuitton</v>
      </c>
      <c r="C178" t="str" cm="1">
        <f t="array" ref="C178">INDEX($L$2:$L$4, INT(MOD(ROW()-2,12)/4)+1)</f>
        <v>Tier 2</v>
      </c>
      <c r="D178">
        <v>101</v>
      </c>
      <c r="E178">
        <v>12196</v>
      </c>
      <c r="F178">
        <v>18</v>
      </c>
      <c r="G178">
        <v>8</v>
      </c>
      <c r="H178" s="6">
        <v>0.41</v>
      </c>
    </row>
    <row r="179" spans="1:8" x14ac:dyDescent="0.2">
      <c r="A179" s="3">
        <f t="shared" si="2"/>
        <v>45352</v>
      </c>
      <c r="B179" t="str" cm="1">
        <f t="array" ref="B179">INDEX($J$2:$J$5, MOD(ROW()-2,4)+1)</f>
        <v>Dior</v>
      </c>
      <c r="C179" t="str" cm="1">
        <f t="array" ref="C179">INDEX($L$2:$L$4, INT(MOD(ROW()-2,12)/4)+1)</f>
        <v>Tier 2</v>
      </c>
      <c r="D179">
        <v>86</v>
      </c>
      <c r="E179">
        <v>9319</v>
      </c>
      <c r="F179">
        <v>13</v>
      </c>
      <c r="G179">
        <v>9</v>
      </c>
      <c r="H179" s="6">
        <v>0.5</v>
      </c>
    </row>
    <row r="180" spans="1:8" x14ac:dyDescent="0.2">
      <c r="A180" s="3">
        <f t="shared" si="2"/>
        <v>45352</v>
      </c>
      <c r="B180" t="str" cm="1">
        <f t="array" ref="B180">INDEX($J$2:$J$5, MOD(ROW()-2,4)+1)</f>
        <v>Gucci</v>
      </c>
      <c r="C180" t="str" cm="1">
        <f t="array" ref="C180">INDEX($L$2:$L$4, INT(MOD(ROW()-2,12)/4)+1)</f>
        <v>Tier 2</v>
      </c>
      <c r="D180">
        <v>70</v>
      </c>
      <c r="E180">
        <v>8275</v>
      </c>
      <c r="F180">
        <v>10</v>
      </c>
      <c r="G180">
        <v>8</v>
      </c>
      <c r="H180" s="6">
        <v>0.28000000000000003</v>
      </c>
    </row>
    <row r="181" spans="1:8" x14ac:dyDescent="0.2">
      <c r="A181" s="3">
        <f t="shared" si="2"/>
        <v>45352</v>
      </c>
      <c r="B181" t="str" cm="1">
        <f t="array" ref="B181">INDEX($J$2:$J$5, MOD(ROW()-2,4)+1)</f>
        <v>Chanel</v>
      </c>
      <c r="C181" t="str" cm="1">
        <f t="array" ref="C181">INDEX($L$2:$L$4, INT(MOD(ROW()-2,12)/4)+1)</f>
        <v>Tier 2</v>
      </c>
      <c r="D181">
        <v>66</v>
      </c>
      <c r="E181">
        <v>7689</v>
      </c>
      <c r="F181">
        <v>8</v>
      </c>
      <c r="G181">
        <v>9</v>
      </c>
      <c r="H181" s="6">
        <v>0.24</v>
      </c>
    </row>
    <row r="182" spans="1:8" x14ac:dyDescent="0.2">
      <c r="A182" s="3">
        <f t="shared" si="2"/>
        <v>45383</v>
      </c>
      <c r="B182" t="str" cm="1">
        <f t="array" ref="B182">INDEX($J$2:$J$5, MOD(ROW()-2,4)+1)</f>
        <v>Louis Vuitton</v>
      </c>
      <c r="C182" t="str" cm="1">
        <f t="array" ref="C182">INDEX($L$2:$L$4, INT(MOD(ROW()-2,12)/4)+1)</f>
        <v>Tier 1</v>
      </c>
      <c r="D182">
        <v>157</v>
      </c>
      <c r="E182">
        <v>14423</v>
      </c>
      <c r="F182">
        <v>33</v>
      </c>
      <c r="G182">
        <v>11</v>
      </c>
      <c r="H182" s="6">
        <v>0.45</v>
      </c>
    </row>
    <row r="183" spans="1:8" x14ac:dyDescent="0.2">
      <c r="A183" s="3">
        <f t="shared" si="2"/>
        <v>45383</v>
      </c>
      <c r="B183" t="str" cm="1">
        <f t="array" ref="B183">INDEX($J$2:$J$5, MOD(ROW()-2,4)+1)</f>
        <v>Dior</v>
      </c>
      <c r="C183" t="str" cm="1">
        <f t="array" ref="C183">INDEX($L$2:$L$4, INT(MOD(ROW()-2,12)/4)+1)</f>
        <v>Tier 1</v>
      </c>
      <c r="D183">
        <v>139</v>
      </c>
      <c r="E183">
        <v>11245</v>
      </c>
      <c r="F183">
        <v>26</v>
      </c>
      <c r="G183">
        <v>12</v>
      </c>
      <c r="H183" s="6">
        <v>0.39</v>
      </c>
    </row>
    <row r="184" spans="1:8" x14ac:dyDescent="0.2">
      <c r="A184" s="3">
        <f t="shared" si="2"/>
        <v>45383</v>
      </c>
      <c r="B184" t="str" cm="1">
        <f t="array" ref="B184">INDEX($J$2:$J$5, MOD(ROW()-2,4)+1)</f>
        <v>Gucci</v>
      </c>
      <c r="C184" t="str" cm="1">
        <f t="array" ref="C184">INDEX($L$2:$L$4, INT(MOD(ROW()-2,12)/4)+1)</f>
        <v>Tier 1</v>
      </c>
      <c r="D184">
        <v>124</v>
      </c>
      <c r="E184">
        <v>9622</v>
      </c>
      <c r="F184">
        <v>23</v>
      </c>
      <c r="G184">
        <v>13</v>
      </c>
      <c r="H184" s="6">
        <v>0.33</v>
      </c>
    </row>
    <row r="185" spans="1:8" x14ac:dyDescent="0.2">
      <c r="A185" s="3">
        <f t="shared" si="2"/>
        <v>45383</v>
      </c>
      <c r="B185" t="str" cm="1">
        <f t="array" ref="B185">INDEX($J$2:$J$5, MOD(ROW()-2,4)+1)</f>
        <v>Chanel</v>
      </c>
      <c r="C185" t="str" cm="1">
        <f t="array" ref="C185">INDEX($L$2:$L$4, INT(MOD(ROW()-2,12)/4)+1)</f>
        <v>Tier 1</v>
      </c>
      <c r="D185">
        <v>94</v>
      </c>
      <c r="E185">
        <v>8613</v>
      </c>
      <c r="F185">
        <v>13</v>
      </c>
      <c r="G185">
        <v>11</v>
      </c>
      <c r="H185" s="6">
        <v>0.38</v>
      </c>
    </row>
    <row r="186" spans="1:8" x14ac:dyDescent="0.2">
      <c r="A186" s="3">
        <f t="shared" si="2"/>
        <v>45383</v>
      </c>
      <c r="B186" t="str" cm="1">
        <f t="array" ref="B186">INDEX($J$2:$J$5, MOD(ROW()-2,4)+1)</f>
        <v>Louis Vuitton</v>
      </c>
      <c r="C186" t="str" cm="1">
        <f t="array" ref="C186">INDEX($L$2:$L$4, INT(MOD(ROW()-2,12)/4)+1)</f>
        <v>New Tier 1</v>
      </c>
      <c r="D186">
        <v>152</v>
      </c>
      <c r="E186">
        <v>13021</v>
      </c>
      <c r="F186">
        <v>29</v>
      </c>
      <c r="G186">
        <v>12</v>
      </c>
      <c r="H186" s="6">
        <v>0.35</v>
      </c>
    </row>
    <row r="187" spans="1:8" x14ac:dyDescent="0.2">
      <c r="A187" s="3">
        <f t="shared" si="2"/>
        <v>45383</v>
      </c>
      <c r="B187" t="str" cm="1">
        <f t="array" ref="B187">INDEX($J$2:$J$5, MOD(ROW()-2,4)+1)</f>
        <v>Dior</v>
      </c>
      <c r="C187" t="str" cm="1">
        <f t="array" ref="C187">INDEX($L$2:$L$4, INT(MOD(ROW()-2,12)/4)+1)</f>
        <v>New Tier 1</v>
      </c>
      <c r="D187">
        <v>117</v>
      </c>
      <c r="E187">
        <v>10667</v>
      </c>
      <c r="F187">
        <v>22</v>
      </c>
      <c r="G187">
        <v>11</v>
      </c>
      <c r="H187" s="6">
        <v>0.22</v>
      </c>
    </row>
    <row r="188" spans="1:8" x14ac:dyDescent="0.2">
      <c r="A188" s="3">
        <f t="shared" si="2"/>
        <v>45383</v>
      </c>
      <c r="B188" t="str" cm="1">
        <f t="array" ref="B188">INDEX($J$2:$J$5, MOD(ROW()-2,4)+1)</f>
        <v>Gucci</v>
      </c>
      <c r="C188" t="str" cm="1">
        <f t="array" ref="C188">INDEX($L$2:$L$4, INT(MOD(ROW()-2,12)/4)+1)</f>
        <v>New Tier 1</v>
      </c>
      <c r="D188">
        <v>104</v>
      </c>
      <c r="E188">
        <v>8742</v>
      </c>
      <c r="F188">
        <v>16</v>
      </c>
      <c r="G188">
        <v>12</v>
      </c>
      <c r="H188" s="6">
        <v>0.48</v>
      </c>
    </row>
    <row r="189" spans="1:8" x14ac:dyDescent="0.2">
      <c r="A189" s="3">
        <f t="shared" si="2"/>
        <v>45383</v>
      </c>
      <c r="B189" t="str" cm="1">
        <f t="array" ref="B189">INDEX($J$2:$J$5, MOD(ROW()-2,4)+1)</f>
        <v>Chanel</v>
      </c>
      <c r="C189" t="str" cm="1">
        <f t="array" ref="C189">INDEX($L$2:$L$4, INT(MOD(ROW()-2,12)/4)+1)</f>
        <v>New Tier 1</v>
      </c>
      <c r="D189">
        <v>86</v>
      </c>
      <c r="E189">
        <v>8116</v>
      </c>
      <c r="F189">
        <v>12</v>
      </c>
      <c r="G189">
        <v>11</v>
      </c>
      <c r="H189" s="6">
        <v>0.32</v>
      </c>
    </row>
    <row r="190" spans="1:8" x14ac:dyDescent="0.2">
      <c r="A190" s="3">
        <f t="shared" si="2"/>
        <v>45383</v>
      </c>
      <c r="B190" t="str" cm="1">
        <f t="array" ref="B190">INDEX($J$2:$J$5, MOD(ROW()-2,4)+1)</f>
        <v>Louis Vuitton</v>
      </c>
      <c r="C190" t="str" cm="1">
        <f t="array" ref="C190">INDEX($L$2:$L$4, INT(MOD(ROW()-2,12)/4)+1)</f>
        <v>Tier 2</v>
      </c>
      <c r="D190">
        <v>100</v>
      </c>
      <c r="E190">
        <v>11868</v>
      </c>
      <c r="F190">
        <v>18</v>
      </c>
      <c r="G190">
        <v>8</v>
      </c>
      <c r="H190" s="6">
        <v>0.4</v>
      </c>
    </row>
    <row r="191" spans="1:8" x14ac:dyDescent="0.2">
      <c r="A191" s="3">
        <f t="shared" si="2"/>
        <v>45383</v>
      </c>
      <c r="B191" t="str" cm="1">
        <f t="array" ref="B191">INDEX($J$2:$J$5, MOD(ROW()-2,4)+1)</f>
        <v>Dior</v>
      </c>
      <c r="C191" t="str" cm="1">
        <f t="array" ref="C191">INDEX($L$2:$L$4, INT(MOD(ROW()-2,12)/4)+1)</f>
        <v>Tier 2</v>
      </c>
      <c r="D191">
        <v>76</v>
      </c>
      <c r="E191">
        <v>9182</v>
      </c>
      <c r="F191">
        <v>12</v>
      </c>
      <c r="G191">
        <v>8</v>
      </c>
      <c r="H191" s="6">
        <v>0.2</v>
      </c>
    </row>
    <row r="192" spans="1:8" x14ac:dyDescent="0.2">
      <c r="A192" s="3">
        <f t="shared" si="2"/>
        <v>45383</v>
      </c>
      <c r="B192" t="str" cm="1">
        <f t="array" ref="B192">INDEX($J$2:$J$5, MOD(ROW()-2,4)+1)</f>
        <v>Gucci</v>
      </c>
      <c r="C192" t="str" cm="1">
        <f t="array" ref="C192">INDEX($L$2:$L$4, INT(MOD(ROW()-2,12)/4)+1)</f>
        <v>Tier 2</v>
      </c>
      <c r="D192">
        <v>67</v>
      </c>
      <c r="E192">
        <v>8133</v>
      </c>
      <c r="F192">
        <v>9</v>
      </c>
      <c r="G192">
        <v>8</v>
      </c>
      <c r="H192" s="6">
        <v>0.44</v>
      </c>
    </row>
    <row r="193" spans="1:8" x14ac:dyDescent="0.2">
      <c r="A193" s="3">
        <f t="shared" si="2"/>
        <v>45383</v>
      </c>
      <c r="B193" t="str" cm="1">
        <f t="array" ref="B193">INDEX($J$2:$J$5, MOD(ROW()-2,4)+1)</f>
        <v>Chanel</v>
      </c>
      <c r="C193" t="str" cm="1">
        <f t="array" ref="C193">INDEX($L$2:$L$4, INT(MOD(ROW()-2,12)/4)+1)</f>
        <v>Tier 2</v>
      </c>
      <c r="D193">
        <v>61</v>
      </c>
      <c r="E193">
        <v>7229</v>
      </c>
      <c r="F193">
        <v>7</v>
      </c>
      <c r="G193">
        <v>8</v>
      </c>
      <c r="H193" s="6">
        <v>0.34</v>
      </c>
    </row>
    <row r="194" spans="1:8" x14ac:dyDescent="0.2">
      <c r="A194" s="3">
        <f t="shared" ref="A194:A257" si="3">DATE(2023,1+INT((ROW()-2)/12),1)</f>
        <v>45413</v>
      </c>
      <c r="B194" t="str" cm="1">
        <f t="array" ref="B194">INDEX($J$2:$J$5, MOD(ROW()-2,4)+1)</f>
        <v>Louis Vuitton</v>
      </c>
      <c r="C194" t="str" cm="1">
        <f t="array" ref="C194">INDEX($L$2:$L$4, INT(MOD(ROW()-2,12)/4)+1)</f>
        <v>Tier 1</v>
      </c>
      <c r="D194">
        <v>166</v>
      </c>
      <c r="E194">
        <v>13701</v>
      </c>
      <c r="F194">
        <v>38</v>
      </c>
      <c r="G194">
        <v>12</v>
      </c>
      <c r="H194" s="6">
        <v>0.35</v>
      </c>
    </row>
    <row r="195" spans="1:8" x14ac:dyDescent="0.2">
      <c r="A195" s="3">
        <f t="shared" si="3"/>
        <v>45413</v>
      </c>
      <c r="B195" t="str" cm="1">
        <f t="array" ref="B195">INDEX($J$2:$J$5, MOD(ROW()-2,4)+1)</f>
        <v>Dior</v>
      </c>
      <c r="C195" t="str" cm="1">
        <f t="array" ref="C195">INDEX($L$2:$L$4, INT(MOD(ROW()-2,12)/4)+1)</f>
        <v>Tier 1</v>
      </c>
      <c r="D195">
        <v>133</v>
      </c>
      <c r="E195">
        <v>10906</v>
      </c>
      <c r="F195">
        <v>28</v>
      </c>
      <c r="G195">
        <v>12</v>
      </c>
      <c r="H195" s="6">
        <v>0.46</v>
      </c>
    </row>
    <row r="196" spans="1:8" x14ac:dyDescent="0.2">
      <c r="A196" s="3">
        <f t="shared" si="3"/>
        <v>45413</v>
      </c>
      <c r="B196" t="str" cm="1">
        <f t="array" ref="B196">INDEX($J$2:$J$5, MOD(ROW()-2,4)+1)</f>
        <v>Gucci</v>
      </c>
      <c r="C196" t="str" cm="1">
        <f t="array" ref="C196">INDEX($L$2:$L$4, INT(MOD(ROW()-2,12)/4)+1)</f>
        <v>Tier 1</v>
      </c>
      <c r="D196">
        <v>119</v>
      </c>
      <c r="E196">
        <v>9663</v>
      </c>
      <c r="F196">
        <v>21</v>
      </c>
      <c r="G196">
        <v>12</v>
      </c>
      <c r="H196" s="6">
        <v>0.24</v>
      </c>
    </row>
    <row r="197" spans="1:8" x14ac:dyDescent="0.2">
      <c r="A197" s="3">
        <f t="shared" si="3"/>
        <v>45413</v>
      </c>
      <c r="B197" t="str" cm="1">
        <f t="array" ref="B197">INDEX($J$2:$J$5, MOD(ROW()-2,4)+1)</f>
        <v>Chanel</v>
      </c>
      <c r="C197" t="str" cm="1">
        <f t="array" ref="C197">INDEX($L$2:$L$4, INT(MOD(ROW()-2,12)/4)+1)</f>
        <v>Tier 1</v>
      </c>
      <c r="D197">
        <v>94</v>
      </c>
      <c r="E197">
        <v>8280</v>
      </c>
      <c r="F197">
        <v>14</v>
      </c>
      <c r="G197">
        <v>11</v>
      </c>
      <c r="H197" s="6">
        <v>0.39</v>
      </c>
    </row>
    <row r="198" spans="1:8" x14ac:dyDescent="0.2">
      <c r="A198" s="3">
        <f t="shared" si="3"/>
        <v>45413</v>
      </c>
      <c r="B198" t="str" cm="1">
        <f t="array" ref="B198">INDEX($J$2:$J$5, MOD(ROW()-2,4)+1)</f>
        <v>Louis Vuitton</v>
      </c>
      <c r="C198" t="str" cm="1">
        <f t="array" ref="C198">INDEX($L$2:$L$4, INT(MOD(ROW()-2,12)/4)+1)</f>
        <v>New Tier 1</v>
      </c>
      <c r="D198">
        <v>145</v>
      </c>
      <c r="E198">
        <v>13689</v>
      </c>
      <c r="F198">
        <v>30</v>
      </c>
      <c r="G198">
        <v>11</v>
      </c>
      <c r="H198" s="6">
        <v>0.33</v>
      </c>
    </row>
    <row r="199" spans="1:8" x14ac:dyDescent="0.2">
      <c r="A199" s="3">
        <f t="shared" si="3"/>
        <v>45413</v>
      </c>
      <c r="B199" t="str" cm="1">
        <f t="array" ref="B199">INDEX($J$2:$J$5, MOD(ROW()-2,4)+1)</f>
        <v>Dior</v>
      </c>
      <c r="C199" t="str" cm="1">
        <f t="array" ref="C199">INDEX($L$2:$L$4, INT(MOD(ROW()-2,12)/4)+1)</f>
        <v>New Tier 1</v>
      </c>
      <c r="D199">
        <v>108</v>
      </c>
      <c r="E199">
        <v>10626</v>
      </c>
      <c r="F199">
        <v>21</v>
      </c>
      <c r="G199">
        <v>10</v>
      </c>
      <c r="H199" s="6">
        <v>0.48</v>
      </c>
    </row>
    <row r="200" spans="1:8" x14ac:dyDescent="0.2">
      <c r="A200" s="3">
        <f t="shared" si="3"/>
        <v>45413</v>
      </c>
      <c r="B200" t="str" cm="1">
        <f t="array" ref="B200">INDEX($J$2:$J$5, MOD(ROW()-2,4)+1)</f>
        <v>Gucci</v>
      </c>
      <c r="C200" t="str" cm="1">
        <f t="array" ref="C200">INDEX($L$2:$L$4, INT(MOD(ROW()-2,12)/4)+1)</f>
        <v>New Tier 1</v>
      </c>
      <c r="D200">
        <v>105</v>
      </c>
      <c r="E200">
        <v>8608</v>
      </c>
      <c r="F200">
        <v>17</v>
      </c>
      <c r="G200">
        <v>12</v>
      </c>
      <c r="H200" s="6">
        <v>0.23</v>
      </c>
    </row>
    <row r="201" spans="1:8" x14ac:dyDescent="0.2">
      <c r="A201" s="3">
        <f t="shared" si="3"/>
        <v>45413</v>
      </c>
      <c r="B201" t="str" cm="1">
        <f t="array" ref="B201">INDEX($J$2:$J$5, MOD(ROW()-2,4)+1)</f>
        <v>Chanel</v>
      </c>
      <c r="C201" t="str" cm="1">
        <f t="array" ref="C201">INDEX($L$2:$L$4, INT(MOD(ROW()-2,12)/4)+1)</f>
        <v>New Tier 1</v>
      </c>
      <c r="D201">
        <v>84</v>
      </c>
      <c r="E201">
        <v>7929</v>
      </c>
      <c r="F201">
        <v>12</v>
      </c>
      <c r="G201">
        <v>11</v>
      </c>
      <c r="H201" s="6">
        <v>0.47</v>
      </c>
    </row>
    <row r="202" spans="1:8" x14ac:dyDescent="0.2">
      <c r="A202" s="3">
        <f t="shared" si="3"/>
        <v>45413</v>
      </c>
      <c r="B202" t="str" cm="1">
        <f t="array" ref="B202">INDEX($J$2:$J$5, MOD(ROW()-2,4)+1)</f>
        <v>Louis Vuitton</v>
      </c>
      <c r="C202" t="str" cm="1">
        <f t="array" ref="C202">INDEX($L$2:$L$4, INT(MOD(ROW()-2,12)/4)+1)</f>
        <v>Tier 2</v>
      </c>
      <c r="D202">
        <v>110</v>
      </c>
      <c r="E202">
        <v>11439</v>
      </c>
      <c r="F202">
        <v>20</v>
      </c>
      <c r="G202">
        <v>10</v>
      </c>
      <c r="H202" s="6">
        <v>0.35</v>
      </c>
    </row>
    <row r="203" spans="1:8" x14ac:dyDescent="0.2">
      <c r="A203" s="3">
        <f t="shared" si="3"/>
        <v>45413</v>
      </c>
      <c r="B203" t="str" cm="1">
        <f t="array" ref="B203">INDEX($J$2:$J$5, MOD(ROW()-2,4)+1)</f>
        <v>Dior</v>
      </c>
      <c r="C203" t="str" cm="1">
        <f t="array" ref="C203">INDEX($L$2:$L$4, INT(MOD(ROW()-2,12)/4)+1)</f>
        <v>Tier 2</v>
      </c>
      <c r="D203">
        <v>81</v>
      </c>
      <c r="E203">
        <v>9043</v>
      </c>
      <c r="F203">
        <v>13</v>
      </c>
      <c r="G203">
        <v>9</v>
      </c>
      <c r="H203" s="6">
        <v>0.4</v>
      </c>
    </row>
    <row r="204" spans="1:8" x14ac:dyDescent="0.2">
      <c r="A204" s="3">
        <f t="shared" si="3"/>
        <v>45413</v>
      </c>
      <c r="B204" t="str" cm="1">
        <f t="array" ref="B204">INDEX($J$2:$J$5, MOD(ROW()-2,4)+1)</f>
        <v>Gucci</v>
      </c>
      <c r="C204" t="str" cm="1">
        <f t="array" ref="C204">INDEX($L$2:$L$4, INT(MOD(ROW()-2,12)/4)+1)</f>
        <v>Tier 2</v>
      </c>
      <c r="D204">
        <v>71</v>
      </c>
      <c r="E204">
        <v>7774</v>
      </c>
      <c r="F204">
        <v>9</v>
      </c>
      <c r="G204">
        <v>9</v>
      </c>
      <c r="H204" s="6">
        <v>0.38</v>
      </c>
    </row>
    <row r="205" spans="1:8" x14ac:dyDescent="0.2">
      <c r="A205" s="3">
        <f t="shared" si="3"/>
        <v>45413</v>
      </c>
      <c r="B205" t="str" cm="1">
        <f t="array" ref="B205">INDEX($J$2:$J$5, MOD(ROW()-2,4)+1)</f>
        <v>Chanel</v>
      </c>
      <c r="C205" t="str" cm="1">
        <f t="array" ref="C205">INDEX($L$2:$L$4, INT(MOD(ROW()-2,12)/4)+1)</f>
        <v>Tier 2</v>
      </c>
      <c r="D205">
        <v>58</v>
      </c>
      <c r="E205">
        <v>7357</v>
      </c>
      <c r="F205">
        <v>7</v>
      </c>
      <c r="G205">
        <v>8</v>
      </c>
      <c r="H205" s="6">
        <v>0.37</v>
      </c>
    </row>
    <row r="206" spans="1:8" x14ac:dyDescent="0.2">
      <c r="A206" s="3">
        <f t="shared" si="3"/>
        <v>45444</v>
      </c>
      <c r="B206" t="str" cm="1">
        <f t="array" ref="B206">INDEX($J$2:$J$5, MOD(ROW()-2,4)+1)</f>
        <v>Louis Vuitton</v>
      </c>
      <c r="C206" t="str" cm="1">
        <f t="array" ref="C206">INDEX($L$2:$L$4, INT(MOD(ROW()-2,12)/4)+1)</f>
        <v>Tier 1</v>
      </c>
      <c r="D206">
        <v>162</v>
      </c>
      <c r="E206">
        <v>13384</v>
      </c>
      <c r="F206">
        <v>38</v>
      </c>
      <c r="G206">
        <v>12</v>
      </c>
      <c r="H206" s="6">
        <v>0.48</v>
      </c>
    </row>
    <row r="207" spans="1:8" x14ac:dyDescent="0.2">
      <c r="A207" s="3">
        <f t="shared" si="3"/>
        <v>45444</v>
      </c>
      <c r="B207" t="str" cm="1">
        <f t="array" ref="B207">INDEX($J$2:$J$5, MOD(ROW()-2,4)+1)</f>
        <v>Dior</v>
      </c>
      <c r="C207" t="str" cm="1">
        <f t="array" ref="C207">INDEX($L$2:$L$4, INT(MOD(ROW()-2,12)/4)+1)</f>
        <v>Tier 1</v>
      </c>
      <c r="D207">
        <v>122</v>
      </c>
      <c r="E207">
        <v>11363</v>
      </c>
      <c r="F207">
        <v>26</v>
      </c>
      <c r="G207">
        <v>11</v>
      </c>
      <c r="H207" s="6">
        <v>0.37</v>
      </c>
    </row>
    <row r="208" spans="1:8" x14ac:dyDescent="0.2">
      <c r="A208" s="3">
        <f t="shared" si="3"/>
        <v>45444</v>
      </c>
      <c r="B208" t="str" cm="1">
        <f t="array" ref="B208">INDEX($J$2:$J$5, MOD(ROW()-2,4)+1)</f>
        <v>Gucci</v>
      </c>
      <c r="C208" t="str" cm="1">
        <f t="array" ref="C208">INDEX($L$2:$L$4, INT(MOD(ROW()-2,12)/4)+1)</f>
        <v>Tier 1</v>
      </c>
      <c r="D208">
        <v>122</v>
      </c>
      <c r="E208">
        <v>9040</v>
      </c>
      <c r="F208">
        <v>20</v>
      </c>
      <c r="G208">
        <v>13</v>
      </c>
      <c r="H208" s="6">
        <v>0.39</v>
      </c>
    </row>
    <row r="209" spans="1:8" x14ac:dyDescent="0.2">
      <c r="A209" s="3">
        <f t="shared" si="3"/>
        <v>45444</v>
      </c>
      <c r="B209" t="str" cm="1">
        <f t="array" ref="B209">INDEX($J$2:$J$5, MOD(ROW()-2,4)+1)</f>
        <v>Chanel</v>
      </c>
      <c r="C209" t="str" cm="1">
        <f t="array" ref="C209">INDEX($L$2:$L$4, INT(MOD(ROW()-2,12)/4)+1)</f>
        <v>Tier 1</v>
      </c>
      <c r="D209">
        <v>91</v>
      </c>
      <c r="E209">
        <v>9008</v>
      </c>
      <c r="F209">
        <v>14</v>
      </c>
      <c r="G209">
        <v>10</v>
      </c>
      <c r="H209" s="6">
        <v>0.25</v>
      </c>
    </row>
    <row r="210" spans="1:8" x14ac:dyDescent="0.2">
      <c r="A210" s="3">
        <f t="shared" si="3"/>
        <v>45444</v>
      </c>
      <c r="B210" t="str" cm="1">
        <f t="array" ref="B210">INDEX($J$2:$J$5, MOD(ROW()-2,4)+1)</f>
        <v>Louis Vuitton</v>
      </c>
      <c r="C210" t="str" cm="1">
        <f t="array" ref="C210">INDEX($L$2:$L$4, INT(MOD(ROW()-2,12)/4)+1)</f>
        <v>New Tier 1</v>
      </c>
      <c r="D210">
        <v>139</v>
      </c>
      <c r="E210">
        <v>12696</v>
      </c>
      <c r="F210">
        <v>27</v>
      </c>
      <c r="G210">
        <v>11</v>
      </c>
      <c r="H210" s="6">
        <v>0.38</v>
      </c>
    </row>
    <row r="211" spans="1:8" x14ac:dyDescent="0.2">
      <c r="A211" s="3">
        <f t="shared" si="3"/>
        <v>45444</v>
      </c>
      <c r="B211" t="str" cm="1">
        <f t="array" ref="B211">INDEX($J$2:$J$5, MOD(ROW()-2,4)+1)</f>
        <v>Dior</v>
      </c>
      <c r="C211" t="str" cm="1">
        <f t="array" ref="C211">INDEX($L$2:$L$4, INT(MOD(ROW()-2,12)/4)+1)</f>
        <v>New Tier 1</v>
      </c>
      <c r="D211">
        <v>117</v>
      </c>
      <c r="E211">
        <v>10438</v>
      </c>
      <c r="F211">
        <v>22</v>
      </c>
      <c r="G211">
        <v>11</v>
      </c>
      <c r="H211" s="6">
        <v>0.26</v>
      </c>
    </row>
    <row r="212" spans="1:8" x14ac:dyDescent="0.2">
      <c r="A212" s="3">
        <f t="shared" si="3"/>
        <v>45444</v>
      </c>
      <c r="B212" t="str" cm="1">
        <f t="array" ref="B212">INDEX($J$2:$J$5, MOD(ROW()-2,4)+1)</f>
        <v>Gucci</v>
      </c>
      <c r="C212" t="str" cm="1">
        <f t="array" ref="C212">INDEX($L$2:$L$4, INT(MOD(ROW()-2,12)/4)+1)</f>
        <v>New Tier 1</v>
      </c>
      <c r="D212">
        <v>97</v>
      </c>
      <c r="E212">
        <v>8772</v>
      </c>
      <c r="F212">
        <v>16</v>
      </c>
      <c r="G212">
        <v>11</v>
      </c>
      <c r="H212" s="6">
        <v>0.37</v>
      </c>
    </row>
    <row r="213" spans="1:8" x14ac:dyDescent="0.2">
      <c r="A213" s="3">
        <f t="shared" si="3"/>
        <v>45444</v>
      </c>
      <c r="B213" t="str" cm="1">
        <f t="array" ref="B213">INDEX($J$2:$J$5, MOD(ROW()-2,4)+1)</f>
        <v>Chanel</v>
      </c>
      <c r="C213" t="str" cm="1">
        <f t="array" ref="C213">INDEX($L$2:$L$4, INT(MOD(ROW()-2,12)/4)+1)</f>
        <v>New Tier 1</v>
      </c>
      <c r="D213">
        <v>87</v>
      </c>
      <c r="E213">
        <v>8277</v>
      </c>
      <c r="F213">
        <v>11</v>
      </c>
      <c r="G213">
        <v>11</v>
      </c>
      <c r="H213" s="6">
        <v>0.22</v>
      </c>
    </row>
    <row r="214" spans="1:8" x14ac:dyDescent="0.2">
      <c r="A214" s="3">
        <f t="shared" si="3"/>
        <v>45444</v>
      </c>
      <c r="B214" t="str" cm="1">
        <f t="array" ref="B214">INDEX($J$2:$J$5, MOD(ROW()-2,4)+1)</f>
        <v>Louis Vuitton</v>
      </c>
      <c r="C214" t="str" cm="1">
        <f t="array" ref="C214">INDEX($L$2:$L$4, INT(MOD(ROW()-2,12)/4)+1)</f>
        <v>Tier 2</v>
      </c>
      <c r="D214">
        <v>106</v>
      </c>
      <c r="E214">
        <v>12167</v>
      </c>
      <c r="F214">
        <v>19</v>
      </c>
      <c r="G214">
        <v>9</v>
      </c>
      <c r="H214" s="6">
        <v>0.39</v>
      </c>
    </row>
    <row r="215" spans="1:8" x14ac:dyDescent="0.2">
      <c r="A215" s="3">
        <f t="shared" si="3"/>
        <v>45444</v>
      </c>
      <c r="B215" t="str" cm="1">
        <f t="array" ref="B215">INDEX($J$2:$J$5, MOD(ROW()-2,4)+1)</f>
        <v>Dior</v>
      </c>
      <c r="C215" t="str" cm="1">
        <f t="array" ref="C215">INDEX($L$2:$L$4, INT(MOD(ROW()-2,12)/4)+1)</f>
        <v>Tier 2</v>
      </c>
      <c r="D215">
        <v>75</v>
      </c>
      <c r="E215">
        <v>9323</v>
      </c>
      <c r="F215">
        <v>12</v>
      </c>
      <c r="G215">
        <v>8</v>
      </c>
      <c r="H215" s="6">
        <v>0.37</v>
      </c>
    </row>
    <row r="216" spans="1:8" x14ac:dyDescent="0.2">
      <c r="A216" s="3">
        <f t="shared" si="3"/>
        <v>45444</v>
      </c>
      <c r="B216" t="str" cm="1">
        <f t="array" ref="B216">INDEX($J$2:$J$5, MOD(ROW()-2,4)+1)</f>
        <v>Gucci</v>
      </c>
      <c r="C216" t="str" cm="1">
        <f t="array" ref="C216">INDEX($L$2:$L$4, INT(MOD(ROW()-2,12)/4)+1)</f>
        <v>Tier 2</v>
      </c>
      <c r="D216">
        <v>69</v>
      </c>
      <c r="E216">
        <v>7632</v>
      </c>
      <c r="F216">
        <v>9</v>
      </c>
      <c r="G216">
        <v>9</v>
      </c>
      <c r="H216" s="6">
        <v>0.4</v>
      </c>
    </row>
    <row r="217" spans="1:8" x14ac:dyDescent="0.2">
      <c r="A217" s="3">
        <f t="shared" si="3"/>
        <v>45444</v>
      </c>
      <c r="B217" t="str" cm="1">
        <f t="array" ref="B217">INDEX($J$2:$J$5, MOD(ROW()-2,4)+1)</f>
        <v>Chanel</v>
      </c>
      <c r="C217" t="str" cm="1">
        <f t="array" ref="C217">INDEX($L$2:$L$4, INT(MOD(ROW()-2,12)/4)+1)</f>
        <v>Tier 2</v>
      </c>
      <c r="D217">
        <v>57</v>
      </c>
      <c r="E217">
        <v>7663</v>
      </c>
      <c r="F217">
        <v>7</v>
      </c>
      <c r="G217">
        <v>7</v>
      </c>
      <c r="H217" s="6">
        <v>0.41</v>
      </c>
    </row>
    <row r="218" spans="1:8" x14ac:dyDescent="0.2">
      <c r="A218" s="3">
        <f t="shared" si="3"/>
        <v>45474</v>
      </c>
      <c r="B218" t="str" cm="1">
        <f t="array" ref="B218">INDEX($J$2:$J$5, MOD(ROW()-2,4)+1)</f>
        <v>Louis Vuitton</v>
      </c>
      <c r="C218" t="str" cm="1">
        <f t="array" ref="C218">INDEX($L$2:$L$4, INT(MOD(ROW()-2,12)/4)+1)</f>
        <v>Tier 1</v>
      </c>
      <c r="D218">
        <v>176</v>
      </c>
      <c r="E218">
        <v>13317</v>
      </c>
      <c r="F218">
        <v>41</v>
      </c>
      <c r="G218">
        <v>13</v>
      </c>
      <c r="H218" s="6">
        <v>0.47</v>
      </c>
    </row>
    <row r="219" spans="1:8" x14ac:dyDescent="0.2">
      <c r="A219" s="3">
        <f t="shared" si="3"/>
        <v>45474</v>
      </c>
      <c r="B219" t="str" cm="1">
        <f t="array" ref="B219">INDEX($J$2:$J$5, MOD(ROW()-2,4)+1)</f>
        <v>Dior</v>
      </c>
      <c r="C219" t="str" cm="1">
        <f t="array" ref="C219">INDEX($L$2:$L$4, INT(MOD(ROW()-2,12)/4)+1)</f>
        <v>Tier 1</v>
      </c>
      <c r="D219">
        <v>133</v>
      </c>
      <c r="E219">
        <v>10731</v>
      </c>
      <c r="F219">
        <v>26</v>
      </c>
      <c r="G219">
        <v>12</v>
      </c>
      <c r="H219" s="6">
        <v>0.46</v>
      </c>
    </row>
    <row r="220" spans="1:8" x14ac:dyDescent="0.2">
      <c r="A220" s="3">
        <f t="shared" si="3"/>
        <v>45474</v>
      </c>
      <c r="B220" t="str" cm="1">
        <f t="array" ref="B220">INDEX($J$2:$J$5, MOD(ROW()-2,4)+1)</f>
        <v>Gucci</v>
      </c>
      <c r="C220" t="str" cm="1">
        <f t="array" ref="C220">INDEX($L$2:$L$4, INT(MOD(ROW()-2,12)/4)+1)</f>
        <v>Tier 1</v>
      </c>
      <c r="D220">
        <v>114</v>
      </c>
      <c r="E220">
        <v>9426</v>
      </c>
      <c r="F220">
        <v>19</v>
      </c>
      <c r="G220">
        <v>12</v>
      </c>
      <c r="H220" s="6">
        <v>0.27</v>
      </c>
    </row>
    <row r="221" spans="1:8" x14ac:dyDescent="0.2">
      <c r="A221" s="3">
        <f t="shared" si="3"/>
        <v>45474</v>
      </c>
      <c r="B221" t="str" cm="1">
        <f t="array" ref="B221">INDEX($J$2:$J$5, MOD(ROW()-2,4)+1)</f>
        <v>Chanel</v>
      </c>
      <c r="C221" t="str" cm="1">
        <f t="array" ref="C221">INDEX($L$2:$L$4, INT(MOD(ROW()-2,12)/4)+1)</f>
        <v>Tier 1</v>
      </c>
      <c r="D221">
        <v>104</v>
      </c>
      <c r="E221">
        <v>8613</v>
      </c>
      <c r="F221">
        <v>15</v>
      </c>
      <c r="G221">
        <v>12</v>
      </c>
      <c r="H221" s="6">
        <v>0.4</v>
      </c>
    </row>
    <row r="222" spans="1:8" x14ac:dyDescent="0.2">
      <c r="A222" s="3">
        <f t="shared" si="3"/>
        <v>45474</v>
      </c>
      <c r="B222" t="str" cm="1">
        <f t="array" ref="B222">INDEX($J$2:$J$5, MOD(ROW()-2,4)+1)</f>
        <v>Louis Vuitton</v>
      </c>
      <c r="C222" t="str" cm="1">
        <f t="array" ref="C222">INDEX($L$2:$L$4, INT(MOD(ROW()-2,12)/4)+1)</f>
        <v>New Tier 1</v>
      </c>
      <c r="D222">
        <v>138</v>
      </c>
      <c r="E222">
        <v>12865</v>
      </c>
      <c r="F222">
        <v>29</v>
      </c>
      <c r="G222">
        <v>11</v>
      </c>
      <c r="H222" s="6">
        <v>0.44</v>
      </c>
    </row>
    <row r="223" spans="1:8" x14ac:dyDescent="0.2">
      <c r="A223" s="3">
        <f t="shared" si="3"/>
        <v>45474</v>
      </c>
      <c r="B223" t="str" cm="1">
        <f t="array" ref="B223">INDEX($J$2:$J$5, MOD(ROW()-2,4)+1)</f>
        <v>Dior</v>
      </c>
      <c r="C223" t="str" cm="1">
        <f t="array" ref="C223">INDEX($L$2:$L$4, INT(MOD(ROW()-2,12)/4)+1)</f>
        <v>New Tier 1</v>
      </c>
      <c r="D223">
        <v>118</v>
      </c>
      <c r="E223">
        <v>10114</v>
      </c>
      <c r="F223">
        <v>20</v>
      </c>
      <c r="G223">
        <v>12</v>
      </c>
      <c r="H223" s="6">
        <v>0.48</v>
      </c>
    </row>
    <row r="224" spans="1:8" x14ac:dyDescent="0.2">
      <c r="A224" s="3">
        <f t="shared" si="3"/>
        <v>45474</v>
      </c>
      <c r="B224" t="str" cm="1">
        <f t="array" ref="B224">INDEX($J$2:$J$5, MOD(ROW()-2,4)+1)</f>
        <v>Gucci</v>
      </c>
      <c r="C224" t="str" cm="1">
        <f t="array" ref="C224">INDEX($L$2:$L$4, INT(MOD(ROW()-2,12)/4)+1)</f>
        <v>New Tier 1</v>
      </c>
      <c r="D224">
        <v>103</v>
      </c>
      <c r="E224">
        <v>8796</v>
      </c>
      <c r="F224">
        <v>16</v>
      </c>
      <c r="G224">
        <v>12</v>
      </c>
      <c r="H224" s="6">
        <v>0.38</v>
      </c>
    </row>
    <row r="225" spans="1:8" x14ac:dyDescent="0.2">
      <c r="A225" s="3">
        <f t="shared" si="3"/>
        <v>45474</v>
      </c>
      <c r="B225" t="str" cm="1">
        <f t="array" ref="B225">INDEX($J$2:$J$5, MOD(ROW()-2,4)+1)</f>
        <v>Chanel</v>
      </c>
      <c r="C225" t="str" cm="1">
        <f t="array" ref="C225">INDEX($L$2:$L$4, INT(MOD(ROW()-2,12)/4)+1)</f>
        <v>New Tier 1</v>
      </c>
      <c r="D225">
        <v>77</v>
      </c>
      <c r="E225">
        <v>7920</v>
      </c>
      <c r="F225">
        <v>10</v>
      </c>
      <c r="G225">
        <v>10</v>
      </c>
      <c r="H225" s="6">
        <v>0.46</v>
      </c>
    </row>
    <row r="226" spans="1:8" x14ac:dyDescent="0.2">
      <c r="A226" s="3">
        <f t="shared" si="3"/>
        <v>45474</v>
      </c>
      <c r="B226" t="str" cm="1">
        <f t="array" ref="B226">INDEX($J$2:$J$5, MOD(ROW()-2,4)+1)</f>
        <v>Louis Vuitton</v>
      </c>
      <c r="C226" t="str" cm="1">
        <f t="array" ref="C226">INDEX($L$2:$L$4, INT(MOD(ROW()-2,12)/4)+1)</f>
        <v>Tier 2</v>
      </c>
      <c r="D226">
        <v>105</v>
      </c>
      <c r="E226">
        <v>11988</v>
      </c>
      <c r="F226">
        <v>19</v>
      </c>
      <c r="G226">
        <v>9</v>
      </c>
      <c r="H226" s="6">
        <v>0.48</v>
      </c>
    </row>
    <row r="227" spans="1:8" x14ac:dyDescent="0.2">
      <c r="A227" s="3">
        <f t="shared" si="3"/>
        <v>45474</v>
      </c>
      <c r="B227" t="str" cm="1">
        <f t="array" ref="B227">INDEX($J$2:$J$5, MOD(ROW()-2,4)+1)</f>
        <v>Dior</v>
      </c>
      <c r="C227" t="str" cm="1">
        <f t="array" ref="C227">INDEX($L$2:$L$4, INT(MOD(ROW()-2,12)/4)+1)</f>
        <v>Tier 2</v>
      </c>
      <c r="D227">
        <v>85</v>
      </c>
      <c r="E227">
        <v>9409</v>
      </c>
      <c r="F227">
        <v>13</v>
      </c>
      <c r="G227">
        <v>9</v>
      </c>
      <c r="H227" s="6">
        <v>0.4</v>
      </c>
    </row>
    <row r="228" spans="1:8" x14ac:dyDescent="0.2">
      <c r="A228" s="3">
        <f t="shared" si="3"/>
        <v>45474</v>
      </c>
      <c r="B228" t="str" cm="1">
        <f t="array" ref="B228">INDEX($J$2:$J$5, MOD(ROW()-2,4)+1)</f>
        <v>Gucci</v>
      </c>
      <c r="C228" t="str" cm="1">
        <f t="array" ref="C228">INDEX($L$2:$L$4, INT(MOD(ROW()-2,12)/4)+1)</f>
        <v>Tier 2</v>
      </c>
      <c r="D228">
        <v>72</v>
      </c>
      <c r="E228">
        <v>7776</v>
      </c>
      <c r="F228">
        <v>9</v>
      </c>
      <c r="G228">
        <v>9</v>
      </c>
      <c r="H228" s="6">
        <v>0.37</v>
      </c>
    </row>
    <row r="229" spans="1:8" x14ac:dyDescent="0.2">
      <c r="A229" s="3">
        <f t="shared" si="3"/>
        <v>45474</v>
      </c>
      <c r="B229" t="str" cm="1">
        <f t="array" ref="B229">INDEX($J$2:$J$5, MOD(ROW()-2,4)+1)</f>
        <v>Chanel</v>
      </c>
      <c r="C229" t="str" cm="1">
        <f t="array" ref="C229">INDEX($L$2:$L$4, INT(MOD(ROW()-2,12)/4)+1)</f>
        <v>Tier 2</v>
      </c>
      <c r="D229">
        <v>61</v>
      </c>
      <c r="E229">
        <v>7351</v>
      </c>
      <c r="F229">
        <v>7</v>
      </c>
      <c r="G229">
        <v>8</v>
      </c>
      <c r="H229" s="6">
        <v>0.28000000000000003</v>
      </c>
    </row>
    <row r="230" spans="1:8" x14ac:dyDescent="0.2">
      <c r="A230" s="3">
        <f t="shared" si="3"/>
        <v>45505</v>
      </c>
      <c r="B230" t="str" cm="1">
        <f t="array" ref="B230">INDEX($J$2:$J$5, MOD(ROW()-2,4)+1)</f>
        <v>Louis Vuitton</v>
      </c>
      <c r="C230" t="str" cm="1">
        <f t="array" ref="C230">INDEX($L$2:$L$4, INT(MOD(ROW()-2,12)/4)+1)</f>
        <v>Tier 1</v>
      </c>
      <c r="D230">
        <v>184</v>
      </c>
      <c r="E230">
        <v>13583</v>
      </c>
      <c r="F230">
        <v>41</v>
      </c>
      <c r="G230">
        <v>14</v>
      </c>
      <c r="H230" s="6">
        <v>0.22</v>
      </c>
    </row>
    <row r="231" spans="1:8" x14ac:dyDescent="0.2">
      <c r="A231" s="3">
        <f t="shared" si="3"/>
        <v>45505</v>
      </c>
      <c r="B231" t="str" cm="1">
        <f t="array" ref="B231">INDEX($J$2:$J$5, MOD(ROW()-2,4)+1)</f>
        <v>Dior</v>
      </c>
      <c r="C231" t="str" cm="1">
        <f t="array" ref="C231">INDEX($L$2:$L$4, INT(MOD(ROW()-2,12)/4)+1)</f>
        <v>Tier 1</v>
      </c>
      <c r="D231">
        <v>122</v>
      </c>
      <c r="E231">
        <v>10740</v>
      </c>
      <c r="F231">
        <v>24</v>
      </c>
      <c r="G231">
        <v>11</v>
      </c>
      <c r="H231" s="6">
        <v>0.49</v>
      </c>
    </row>
    <row r="232" spans="1:8" x14ac:dyDescent="0.2">
      <c r="A232" s="3">
        <f t="shared" si="3"/>
        <v>45505</v>
      </c>
      <c r="B232" t="str" cm="1">
        <f t="array" ref="B232">INDEX($J$2:$J$5, MOD(ROW()-2,4)+1)</f>
        <v>Gucci</v>
      </c>
      <c r="C232" t="str" cm="1">
        <f t="array" ref="C232">INDEX($L$2:$L$4, INT(MOD(ROW()-2,12)/4)+1)</f>
        <v>Tier 1</v>
      </c>
      <c r="D232">
        <v>108</v>
      </c>
      <c r="E232">
        <v>8952</v>
      </c>
      <c r="F232">
        <v>20</v>
      </c>
      <c r="G232">
        <v>12</v>
      </c>
      <c r="H232" s="6">
        <v>0.34</v>
      </c>
    </row>
    <row r="233" spans="1:8" x14ac:dyDescent="0.2">
      <c r="A233" s="3">
        <f t="shared" si="3"/>
        <v>45505</v>
      </c>
      <c r="B233" t="str" cm="1">
        <f t="array" ref="B233">INDEX($J$2:$J$5, MOD(ROW()-2,4)+1)</f>
        <v>Chanel</v>
      </c>
      <c r="C233" t="str" cm="1">
        <f t="array" ref="C233">INDEX($L$2:$L$4, INT(MOD(ROW()-2,12)/4)+1)</f>
        <v>Tier 1</v>
      </c>
      <c r="D233">
        <v>98</v>
      </c>
      <c r="E233">
        <v>8299</v>
      </c>
      <c r="F233">
        <v>15</v>
      </c>
      <c r="G233">
        <v>12</v>
      </c>
      <c r="H233" s="6">
        <v>0.37</v>
      </c>
    </row>
    <row r="234" spans="1:8" x14ac:dyDescent="0.2">
      <c r="A234" s="3">
        <f t="shared" si="3"/>
        <v>45505</v>
      </c>
      <c r="B234" t="str" cm="1">
        <f t="array" ref="B234">INDEX($J$2:$J$5, MOD(ROW()-2,4)+1)</f>
        <v>Louis Vuitton</v>
      </c>
      <c r="C234" t="str" cm="1">
        <f t="array" ref="C234">INDEX($L$2:$L$4, INT(MOD(ROW()-2,12)/4)+1)</f>
        <v>New Tier 1</v>
      </c>
      <c r="D234">
        <v>153</v>
      </c>
      <c r="E234">
        <v>13341</v>
      </c>
      <c r="F234">
        <v>30</v>
      </c>
      <c r="G234">
        <v>11</v>
      </c>
      <c r="H234" s="6">
        <v>0.4</v>
      </c>
    </row>
    <row r="235" spans="1:8" x14ac:dyDescent="0.2">
      <c r="A235" s="3">
        <f t="shared" si="3"/>
        <v>45505</v>
      </c>
      <c r="B235" t="str" cm="1">
        <f t="array" ref="B235">INDEX($J$2:$J$5, MOD(ROW()-2,4)+1)</f>
        <v>Dior</v>
      </c>
      <c r="C235" t="str" cm="1">
        <f t="array" ref="C235">INDEX($L$2:$L$4, INT(MOD(ROW()-2,12)/4)+1)</f>
        <v>New Tier 1</v>
      </c>
      <c r="D235">
        <v>108</v>
      </c>
      <c r="E235">
        <v>10147</v>
      </c>
      <c r="F235">
        <v>19</v>
      </c>
      <c r="G235">
        <v>11</v>
      </c>
      <c r="H235" s="6">
        <v>0.21</v>
      </c>
    </row>
    <row r="236" spans="1:8" x14ac:dyDescent="0.2">
      <c r="A236" s="3">
        <f t="shared" si="3"/>
        <v>45505</v>
      </c>
      <c r="B236" t="str" cm="1">
        <f t="array" ref="B236">INDEX($J$2:$J$5, MOD(ROW()-2,4)+1)</f>
        <v>Gucci</v>
      </c>
      <c r="C236" t="str" cm="1">
        <f t="array" ref="C236">INDEX($L$2:$L$4, INT(MOD(ROW()-2,12)/4)+1)</f>
        <v>New Tier 1</v>
      </c>
      <c r="D236">
        <v>99</v>
      </c>
      <c r="E236">
        <v>9124</v>
      </c>
      <c r="F236">
        <v>16</v>
      </c>
      <c r="G236">
        <v>11</v>
      </c>
      <c r="H236" s="6">
        <v>0.27</v>
      </c>
    </row>
    <row r="237" spans="1:8" x14ac:dyDescent="0.2">
      <c r="A237" s="3">
        <f t="shared" si="3"/>
        <v>45505</v>
      </c>
      <c r="B237" t="str" cm="1">
        <f t="array" ref="B237">INDEX($J$2:$J$5, MOD(ROW()-2,4)+1)</f>
        <v>Chanel</v>
      </c>
      <c r="C237" t="str" cm="1">
        <f t="array" ref="C237">INDEX($L$2:$L$4, INT(MOD(ROW()-2,12)/4)+1)</f>
        <v>New Tier 1</v>
      </c>
      <c r="D237">
        <v>89</v>
      </c>
      <c r="E237">
        <v>8575</v>
      </c>
      <c r="F237">
        <v>13</v>
      </c>
      <c r="G237">
        <v>10</v>
      </c>
      <c r="H237" s="6">
        <v>0.31</v>
      </c>
    </row>
    <row r="238" spans="1:8" x14ac:dyDescent="0.2">
      <c r="A238" s="3">
        <f t="shared" si="3"/>
        <v>45505</v>
      </c>
      <c r="B238" t="str" cm="1">
        <f t="array" ref="B238">INDEX($J$2:$J$5, MOD(ROW()-2,4)+1)</f>
        <v>Louis Vuitton</v>
      </c>
      <c r="C238" t="str" cm="1">
        <f t="array" ref="C238">INDEX($L$2:$L$4, INT(MOD(ROW()-2,12)/4)+1)</f>
        <v>Tier 2</v>
      </c>
      <c r="D238">
        <v>112</v>
      </c>
      <c r="E238">
        <v>12095</v>
      </c>
      <c r="F238">
        <v>19</v>
      </c>
      <c r="G238">
        <v>9</v>
      </c>
      <c r="H238" s="6">
        <v>0.39</v>
      </c>
    </row>
    <row r="239" spans="1:8" x14ac:dyDescent="0.2">
      <c r="A239" s="3">
        <f t="shared" si="3"/>
        <v>45505</v>
      </c>
      <c r="B239" t="str" cm="1">
        <f t="array" ref="B239">INDEX($J$2:$J$5, MOD(ROW()-2,4)+1)</f>
        <v>Dior</v>
      </c>
      <c r="C239" t="str" cm="1">
        <f t="array" ref="C239">INDEX($L$2:$L$4, INT(MOD(ROW()-2,12)/4)+1)</f>
        <v>Tier 2</v>
      </c>
      <c r="D239">
        <v>83</v>
      </c>
      <c r="E239">
        <v>9033</v>
      </c>
      <c r="F239">
        <v>13</v>
      </c>
      <c r="G239">
        <v>9</v>
      </c>
      <c r="H239" s="6">
        <v>0.41</v>
      </c>
    </row>
    <row r="240" spans="1:8" x14ac:dyDescent="0.2">
      <c r="A240" s="3">
        <f t="shared" si="3"/>
        <v>45505</v>
      </c>
      <c r="B240" t="str" cm="1">
        <f t="array" ref="B240">INDEX($J$2:$J$5, MOD(ROW()-2,4)+1)</f>
        <v>Gucci</v>
      </c>
      <c r="C240" t="str" cm="1">
        <f t="array" ref="C240">INDEX($L$2:$L$4, INT(MOD(ROW()-2,12)/4)+1)</f>
        <v>Tier 2</v>
      </c>
      <c r="D240">
        <v>76</v>
      </c>
      <c r="E240">
        <v>7999</v>
      </c>
      <c r="F240">
        <v>11</v>
      </c>
      <c r="G240">
        <v>10</v>
      </c>
      <c r="H240" s="6">
        <v>0.42</v>
      </c>
    </row>
    <row r="241" spans="1:8" x14ac:dyDescent="0.2">
      <c r="A241" s="3">
        <f t="shared" si="3"/>
        <v>45505</v>
      </c>
      <c r="B241" t="str" cm="1">
        <f t="array" ref="B241">INDEX($J$2:$J$5, MOD(ROW()-2,4)+1)</f>
        <v>Chanel</v>
      </c>
      <c r="C241" t="str" cm="1">
        <f t="array" ref="C241">INDEX($L$2:$L$4, INT(MOD(ROW()-2,12)/4)+1)</f>
        <v>Tier 2</v>
      </c>
      <c r="D241">
        <v>57</v>
      </c>
      <c r="E241">
        <v>7709</v>
      </c>
      <c r="F241">
        <v>6</v>
      </c>
      <c r="G241">
        <v>7</v>
      </c>
      <c r="H241" s="6">
        <v>0.41</v>
      </c>
    </row>
    <row r="242" spans="1:8" x14ac:dyDescent="0.2">
      <c r="A242" s="3">
        <f t="shared" si="3"/>
        <v>45536</v>
      </c>
      <c r="B242" t="str" cm="1">
        <f t="array" ref="B242">INDEX($J$2:$J$5, MOD(ROW()-2,4)+1)</f>
        <v>Louis Vuitton</v>
      </c>
      <c r="C242" t="str" cm="1">
        <f t="array" ref="C242">INDEX($L$2:$L$4, INT(MOD(ROW()-2,12)/4)+1)</f>
        <v>Tier 1</v>
      </c>
      <c r="D242">
        <v>167</v>
      </c>
      <c r="E242">
        <v>14426</v>
      </c>
      <c r="F242">
        <v>35</v>
      </c>
      <c r="G242">
        <v>12</v>
      </c>
      <c r="H242" s="6">
        <v>0.44</v>
      </c>
    </row>
    <row r="243" spans="1:8" x14ac:dyDescent="0.2">
      <c r="A243" s="3">
        <f t="shared" si="3"/>
        <v>45536</v>
      </c>
      <c r="B243" t="str" cm="1">
        <f t="array" ref="B243">INDEX($J$2:$J$5, MOD(ROW()-2,4)+1)</f>
        <v>Dior</v>
      </c>
      <c r="C243" t="str" cm="1">
        <f t="array" ref="C243">INDEX($L$2:$L$4, INT(MOD(ROW()-2,12)/4)+1)</f>
        <v>Tier 1</v>
      </c>
      <c r="D243">
        <v>118</v>
      </c>
      <c r="E243">
        <v>10468</v>
      </c>
      <c r="F243">
        <v>24</v>
      </c>
      <c r="G243">
        <v>11</v>
      </c>
      <c r="H243" s="6">
        <v>0.24</v>
      </c>
    </row>
    <row r="244" spans="1:8" x14ac:dyDescent="0.2">
      <c r="A244" s="3">
        <f t="shared" si="3"/>
        <v>45536</v>
      </c>
      <c r="B244" t="str" cm="1">
        <f t="array" ref="B244">INDEX($J$2:$J$5, MOD(ROW()-2,4)+1)</f>
        <v>Gucci</v>
      </c>
      <c r="C244" t="str" cm="1">
        <f t="array" ref="C244">INDEX($L$2:$L$4, INT(MOD(ROW()-2,12)/4)+1)</f>
        <v>Tier 1</v>
      </c>
      <c r="D244">
        <v>105</v>
      </c>
      <c r="E244">
        <v>9212</v>
      </c>
      <c r="F244">
        <v>19</v>
      </c>
      <c r="G244">
        <v>11</v>
      </c>
      <c r="H244" s="6">
        <v>0.31</v>
      </c>
    </row>
    <row r="245" spans="1:8" x14ac:dyDescent="0.2">
      <c r="A245" s="3">
        <f t="shared" si="3"/>
        <v>45536</v>
      </c>
      <c r="B245" t="str" cm="1">
        <f t="array" ref="B245">INDEX($J$2:$J$5, MOD(ROW()-2,4)+1)</f>
        <v>Chanel</v>
      </c>
      <c r="C245" t="str" cm="1">
        <f t="array" ref="C245">INDEX($L$2:$L$4, INT(MOD(ROW()-2,12)/4)+1)</f>
        <v>Tier 1</v>
      </c>
      <c r="D245">
        <v>103</v>
      </c>
      <c r="E245">
        <v>8574</v>
      </c>
      <c r="F245">
        <v>14</v>
      </c>
      <c r="G245">
        <v>12</v>
      </c>
      <c r="H245" s="6">
        <v>0.44</v>
      </c>
    </row>
    <row r="246" spans="1:8" x14ac:dyDescent="0.2">
      <c r="A246" s="3">
        <f t="shared" si="3"/>
        <v>45536</v>
      </c>
      <c r="B246" t="str" cm="1">
        <f t="array" ref="B246">INDEX($J$2:$J$5, MOD(ROW()-2,4)+1)</f>
        <v>Louis Vuitton</v>
      </c>
      <c r="C246" t="str" cm="1">
        <f t="array" ref="C246">INDEX($L$2:$L$4, INT(MOD(ROW()-2,12)/4)+1)</f>
        <v>New Tier 1</v>
      </c>
      <c r="D246">
        <v>141</v>
      </c>
      <c r="E246">
        <v>13701</v>
      </c>
      <c r="F246">
        <v>28</v>
      </c>
      <c r="G246">
        <v>10</v>
      </c>
      <c r="H246" s="6">
        <v>0.31</v>
      </c>
    </row>
    <row r="247" spans="1:8" x14ac:dyDescent="0.2">
      <c r="A247" s="3">
        <f t="shared" si="3"/>
        <v>45536</v>
      </c>
      <c r="B247" t="str" cm="1">
        <f t="array" ref="B247">INDEX($J$2:$J$5, MOD(ROW()-2,4)+1)</f>
        <v>Dior</v>
      </c>
      <c r="C247" t="str" cm="1">
        <f t="array" ref="C247">INDEX($L$2:$L$4, INT(MOD(ROW()-2,12)/4)+1)</f>
        <v>New Tier 1</v>
      </c>
      <c r="D247">
        <v>115</v>
      </c>
      <c r="E247">
        <v>10256</v>
      </c>
      <c r="F247">
        <v>21</v>
      </c>
      <c r="G247">
        <v>11</v>
      </c>
      <c r="H247" s="6">
        <v>0.23</v>
      </c>
    </row>
    <row r="248" spans="1:8" x14ac:dyDescent="0.2">
      <c r="A248" s="3">
        <f t="shared" si="3"/>
        <v>45536</v>
      </c>
      <c r="B248" t="str" cm="1">
        <f t="array" ref="B248">INDEX($J$2:$J$5, MOD(ROW()-2,4)+1)</f>
        <v>Gucci</v>
      </c>
      <c r="C248" t="str" cm="1">
        <f t="array" ref="C248">INDEX($L$2:$L$4, INT(MOD(ROW()-2,12)/4)+1)</f>
        <v>New Tier 1</v>
      </c>
      <c r="D248">
        <v>90</v>
      </c>
      <c r="E248">
        <v>9041</v>
      </c>
      <c r="F248">
        <v>15</v>
      </c>
      <c r="G248">
        <v>10</v>
      </c>
      <c r="H248" s="6">
        <v>0.47</v>
      </c>
    </row>
    <row r="249" spans="1:8" x14ac:dyDescent="0.2">
      <c r="A249" s="3">
        <f t="shared" si="3"/>
        <v>45536</v>
      </c>
      <c r="B249" t="str" cm="1">
        <f t="array" ref="B249">INDEX($J$2:$J$5, MOD(ROW()-2,4)+1)</f>
        <v>Chanel</v>
      </c>
      <c r="C249" t="str" cm="1">
        <f t="array" ref="C249">INDEX($L$2:$L$4, INT(MOD(ROW()-2,12)/4)+1)</f>
        <v>New Tier 1</v>
      </c>
      <c r="D249">
        <v>79</v>
      </c>
      <c r="E249">
        <v>8409</v>
      </c>
      <c r="F249">
        <v>11</v>
      </c>
      <c r="G249">
        <v>9</v>
      </c>
      <c r="H249" s="6">
        <v>0.21</v>
      </c>
    </row>
    <row r="250" spans="1:8" x14ac:dyDescent="0.2">
      <c r="A250" s="3">
        <f t="shared" si="3"/>
        <v>45536</v>
      </c>
      <c r="B250" t="str" cm="1">
        <f t="array" ref="B250">INDEX($J$2:$J$5, MOD(ROW()-2,4)+1)</f>
        <v>Louis Vuitton</v>
      </c>
      <c r="C250" t="str" cm="1">
        <f t="array" ref="C250">INDEX($L$2:$L$4, INT(MOD(ROW()-2,12)/4)+1)</f>
        <v>Tier 2</v>
      </c>
      <c r="D250">
        <v>115</v>
      </c>
      <c r="E250">
        <v>11403</v>
      </c>
      <c r="F250">
        <v>20</v>
      </c>
      <c r="G250">
        <v>10</v>
      </c>
      <c r="H250" s="6">
        <v>0.45</v>
      </c>
    </row>
    <row r="251" spans="1:8" x14ac:dyDescent="0.2">
      <c r="A251" s="3">
        <f t="shared" si="3"/>
        <v>45536</v>
      </c>
      <c r="B251" t="str" cm="1">
        <f t="array" ref="B251">INDEX($J$2:$J$5, MOD(ROW()-2,4)+1)</f>
        <v>Dior</v>
      </c>
      <c r="C251" t="str" cm="1">
        <f t="array" ref="C251">INDEX($L$2:$L$4, INT(MOD(ROW()-2,12)/4)+1)</f>
        <v>Tier 2</v>
      </c>
      <c r="D251">
        <v>79</v>
      </c>
      <c r="E251">
        <v>9411</v>
      </c>
      <c r="F251">
        <v>13</v>
      </c>
      <c r="G251">
        <v>8</v>
      </c>
      <c r="H251" s="6">
        <v>0.22</v>
      </c>
    </row>
    <row r="252" spans="1:8" x14ac:dyDescent="0.2">
      <c r="A252" s="3">
        <f t="shared" si="3"/>
        <v>45536</v>
      </c>
      <c r="B252" t="str" cm="1">
        <f t="array" ref="B252">INDEX($J$2:$J$5, MOD(ROW()-2,4)+1)</f>
        <v>Gucci</v>
      </c>
      <c r="C252" t="str" cm="1">
        <f t="array" ref="C252">INDEX($L$2:$L$4, INT(MOD(ROW()-2,12)/4)+1)</f>
        <v>Tier 2</v>
      </c>
      <c r="D252">
        <v>73</v>
      </c>
      <c r="E252">
        <v>8239</v>
      </c>
      <c r="F252">
        <v>10</v>
      </c>
      <c r="G252">
        <v>9</v>
      </c>
      <c r="H252" s="6">
        <v>0.37</v>
      </c>
    </row>
    <row r="253" spans="1:8" x14ac:dyDescent="0.2">
      <c r="A253" s="3">
        <f t="shared" si="3"/>
        <v>45536</v>
      </c>
      <c r="B253" t="str" cm="1">
        <f t="array" ref="B253">INDEX($J$2:$J$5, MOD(ROW()-2,4)+1)</f>
        <v>Chanel</v>
      </c>
      <c r="C253" t="str" cm="1">
        <f t="array" ref="C253">INDEX($L$2:$L$4, INT(MOD(ROW()-2,12)/4)+1)</f>
        <v>Tier 2</v>
      </c>
      <c r="D253">
        <v>56</v>
      </c>
      <c r="E253">
        <v>7405</v>
      </c>
      <c r="F253">
        <v>6</v>
      </c>
      <c r="G253">
        <v>8</v>
      </c>
      <c r="H253" s="6">
        <v>0.28999999999999998</v>
      </c>
    </row>
    <row r="254" spans="1:8" x14ac:dyDescent="0.2">
      <c r="A254" s="3">
        <f t="shared" si="3"/>
        <v>45566</v>
      </c>
      <c r="B254" t="str" cm="1">
        <f t="array" ref="B254">INDEX($J$2:$J$5, MOD(ROW()-2,4)+1)</f>
        <v>Louis Vuitton</v>
      </c>
      <c r="C254" t="str" cm="1">
        <f t="array" ref="C254">INDEX($L$2:$L$4, INT(MOD(ROW()-2,12)/4)+1)</f>
        <v>Tier 1</v>
      </c>
      <c r="D254">
        <v>176</v>
      </c>
      <c r="E254">
        <v>13850</v>
      </c>
      <c r="F254">
        <v>39</v>
      </c>
      <c r="G254">
        <v>13</v>
      </c>
      <c r="H254" s="6">
        <v>0.35</v>
      </c>
    </row>
    <row r="255" spans="1:8" x14ac:dyDescent="0.2">
      <c r="A255" s="3">
        <f t="shared" si="3"/>
        <v>45566</v>
      </c>
      <c r="B255" t="str" cm="1">
        <f t="array" ref="B255">INDEX($J$2:$J$5, MOD(ROW()-2,4)+1)</f>
        <v>Dior</v>
      </c>
      <c r="C255" t="str" cm="1">
        <f t="array" ref="C255">INDEX($L$2:$L$4, INT(MOD(ROW()-2,12)/4)+1)</f>
        <v>Tier 1</v>
      </c>
      <c r="D255">
        <v>139</v>
      </c>
      <c r="E255">
        <v>10915</v>
      </c>
      <c r="F255">
        <v>28</v>
      </c>
      <c r="G255">
        <v>13</v>
      </c>
      <c r="H255" s="6">
        <v>0.21</v>
      </c>
    </row>
    <row r="256" spans="1:8" x14ac:dyDescent="0.2">
      <c r="A256" s="3">
        <f t="shared" si="3"/>
        <v>45566</v>
      </c>
      <c r="B256" t="str" cm="1">
        <f t="array" ref="B256">INDEX($J$2:$J$5, MOD(ROW()-2,4)+1)</f>
        <v>Gucci</v>
      </c>
      <c r="C256" t="str" cm="1">
        <f t="array" ref="C256">INDEX($L$2:$L$4, INT(MOD(ROW()-2,12)/4)+1)</f>
        <v>Tier 1</v>
      </c>
      <c r="D256">
        <v>123</v>
      </c>
      <c r="E256">
        <v>8878</v>
      </c>
      <c r="F256">
        <v>22</v>
      </c>
      <c r="G256">
        <v>14</v>
      </c>
      <c r="H256" s="6">
        <v>0.31</v>
      </c>
    </row>
    <row r="257" spans="1:8" x14ac:dyDescent="0.2">
      <c r="A257" s="3">
        <f t="shared" si="3"/>
        <v>45566</v>
      </c>
      <c r="B257" t="str" cm="1">
        <f t="array" ref="B257">INDEX($J$2:$J$5, MOD(ROW()-2,4)+1)</f>
        <v>Chanel</v>
      </c>
      <c r="C257" t="str" cm="1">
        <f t="array" ref="C257">INDEX($L$2:$L$4, INT(MOD(ROW()-2,12)/4)+1)</f>
        <v>Tier 1</v>
      </c>
      <c r="D257">
        <v>98</v>
      </c>
      <c r="E257">
        <v>8489</v>
      </c>
      <c r="F257">
        <v>14</v>
      </c>
      <c r="G257">
        <v>12</v>
      </c>
      <c r="H257" s="6">
        <v>0.43</v>
      </c>
    </row>
    <row r="258" spans="1:8" x14ac:dyDescent="0.2">
      <c r="A258" s="3">
        <f t="shared" ref="A258:A291" si="4">DATE(2023,1+INT((ROW()-2)/12),1)</f>
        <v>45566</v>
      </c>
      <c r="B258" t="str" cm="1">
        <f t="array" ref="B258">INDEX($J$2:$J$5, MOD(ROW()-2,4)+1)</f>
        <v>Louis Vuitton</v>
      </c>
      <c r="C258" t="str" cm="1">
        <f t="array" ref="C258">INDEX($L$2:$L$4, INT(MOD(ROW()-2,12)/4)+1)</f>
        <v>New Tier 1</v>
      </c>
      <c r="D258">
        <v>134</v>
      </c>
      <c r="E258">
        <v>13236</v>
      </c>
      <c r="F258">
        <v>29</v>
      </c>
      <c r="G258">
        <v>10</v>
      </c>
      <c r="H258" s="6">
        <v>0.25</v>
      </c>
    </row>
    <row r="259" spans="1:8" x14ac:dyDescent="0.2">
      <c r="A259" s="3">
        <f t="shared" si="4"/>
        <v>45566</v>
      </c>
      <c r="B259" t="str" cm="1">
        <f t="array" ref="B259">INDEX($J$2:$J$5, MOD(ROW()-2,4)+1)</f>
        <v>Dior</v>
      </c>
      <c r="C259" t="str" cm="1">
        <f t="array" ref="C259">INDEX($L$2:$L$4, INT(MOD(ROW()-2,12)/4)+1)</f>
        <v>New Tier 1</v>
      </c>
      <c r="D259">
        <v>110</v>
      </c>
      <c r="E259">
        <v>10607</v>
      </c>
      <c r="F259">
        <v>19</v>
      </c>
      <c r="G259">
        <v>10</v>
      </c>
      <c r="H259" s="6">
        <v>0.21</v>
      </c>
    </row>
    <row r="260" spans="1:8" x14ac:dyDescent="0.2">
      <c r="A260" s="3">
        <f t="shared" si="4"/>
        <v>45566</v>
      </c>
      <c r="B260" t="str" cm="1">
        <f t="array" ref="B260">INDEX($J$2:$J$5, MOD(ROW()-2,4)+1)</f>
        <v>Gucci</v>
      </c>
      <c r="C260" t="str" cm="1">
        <f t="array" ref="C260">INDEX($L$2:$L$4, INT(MOD(ROW()-2,12)/4)+1)</f>
        <v>New Tier 1</v>
      </c>
      <c r="D260">
        <v>100</v>
      </c>
      <c r="E260">
        <v>8665</v>
      </c>
      <c r="F260">
        <v>15</v>
      </c>
      <c r="G260">
        <v>12</v>
      </c>
      <c r="H260" s="6">
        <v>0.44</v>
      </c>
    </row>
    <row r="261" spans="1:8" x14ac:dyDescent="0.2">
      <c r="A261" s="3">
        <f t="shared" si="4"/>
        <v>45566</v>
      </c>
      <c r="B261" t="str" cm="1">
        <f t="array" ref="B261">INDEX($J$2:$J$5, MOD(ROW()-2,4)+1)</f>
        <v>Chanel</v>
      </c>
      <c r="C261" t="str" cm="1">
        <f t="array" ref="C261">INDEX($L$2:$L$4, INT(MOD(ROW()-2,12)/4)+1)</f>
        <v>New Tier 1</v>
      </c>
      <c r="D261">
        <v>80</v>
      </c>
      <c r="E261">
        <v>7933</v>
      </c>
      <c r="F261">
        <v>11</v>
      </c>
      <c r="G261">
        <v>10</v>
      </c>
      <c r="H261" s="6">
        <v>0.27</v>
      </c>
    </row>
    <row r="262" spans="1:8" x14ac:dyDescent="0.2">
      <c r="A262" s="3">
        <f t="shared" si="4"/>
        <v>45566</v>
      </c>
      <c r="B262" t="str" cm="1">
        <f t="array" ref="B262">INDEX($J$2:$J$5, MOD(ROW()-2,4)+1)</f>
        <v>Louis Vuitton</v>
      </c>
      <c r="C262" t="str" cm="1">
        <f t="array" ref="C262">INDEX($L$2:$L$4, INT(MOD(ROW()-2,12)/4)+1)</f>
        <v>Tier 2</v>
      </c>
      <c r="D262">
        <v>110</v>
      </c>
      <c r="E262">
        <v>11970</v>
      </c>
      <c r="F262">
        <v>20</v>
      </c>
      <c r="G262">
        <v>9</v>
      </c>
      <c r="H262" s="6">
        <v>0.5</v>
      </c>
    </row>
    <row r="263" spans="1:8" x14ac:dyDescent="0.2">
      <c r="A263" s="3">
        <f t="shared" si="4"/>
        <v>45566</v>
      </c>
      <c r="B263" t="str" cm="1">
        <f t="array" ref="B263">INDEX($J$2:$J$5, MOD(ROW()-2,4)+1)</f>
        <v>Dior</v>
      </c>
      <c r="C263" t="str" cm="1">
        <f t="array" ref="C263">INDEX($L$2:$L$4, INT(MOD(ROW()-2,12)/4)+1)</f>
        <v>Tier 2</v>
      </c>
      <c r="D263">
        <v>86</v>
      </c>
      <c r="E263">
        <v>9184</v>
      </c>
      <c r="F263">
        <v>14</v>
      </c>
      <c r="G263">
        <v>9</v>
      </c>
      <c r="H263" s="6">
        <v>0.44</v>
      </c>
    </row>
    <row r="264" spans="1:8" x14ac:dyDescent="0.2">
      <c r="A264" s="3">
        <f t="shared" si="4"/>
        <v>45566</v>
      </c>
      <c r="B264" t="str" cm="1">
        <f t="array" ref="B264">INDEX($J$2:$J$5, MOD(ROW()-2,4)+1)</f>
        <v>Gucci</v>
      </c>
      <c r="C264" t="str" cm="1">
        <f t="array" ref="C264">INDEX($L$2:$L$4, INT(MOD(ROW()-2,12)/4)+1)</f>
        <v>Tier 2</v>
      </c>
      <c r="D264">
        <v>71</v>
      </c>
      <c r="E264">
        <v>8229</v>
      </c>
      <c r="F264">
        <v>9</v>
      </c>
      <c r="G264">
        <v>9</v>
      </c>
      <c r="H264" s="6">
        <v>0.39</v>
      </c>
    </row>
    <row r="265" spans="1:8" x14ac:dyDescent="0.2">
      <c r="A265" s="3">
        <f t="shared" si="4"/>
        <v>45566</v>
      </c>
      <c r="B265" t="str" cm="1">
        <f t="array" ref="B265">INDEX($J$2:$J$5, MOD(ROW()-2,4)+1)</f>
        <v>Chanel</v>
      </c>
      <c r="C265" t="str" cm="1">
        <f t="array" ref="C265">INDEX($L$2:$L$4, INT(MOD(ROW()-2,12)/4)+1)</f>
        <v>Tier 2</v>
      </c>
      <c r="D265">
        <v>66</v>
      </c>
      <c r="E265">
        <v>7173</v>
      </c>
      <c r="F265">
        <v>8</v>
      </c>
      <c r="G265">
        <v>9</v>
      </c>
      <c r="H265" s="6">
        <v>0.32</v>
      </c>
    </row>
    <row r="266" spans="1:8" x14ac:dyDescent="0.2">
      <c r="A266" s="3">
        <f t="shared" si="4"/>
        <v>45597</v>
      </c>
      <c r="B266" t="str" cm="1">
        <f t="array" ref="B266">INDEX($J$2:$J$5, MOD(ROW()-2,4)+1)</f>
        <v>Louis Vuitton</v>
      </c>
      <c r="C266" t="str" cm="1">
        <f t="array" ref="C266">INDEX($L$2:$L$4, INT(MOD(ROW()-2,12)/4)+1)</f>
        <v>Tier 1</v>
      </c>
      <c r="D266">
        <v>170</v>
      </c>
      <c r="E266">
        <v>14354</v>
      </c>
      <c r="F266">
        <v>39</v>
      </c>
      <c r="G266">
        <v>12</v>
      </c>
      <c r="H266" s="6">
        <v>0.48</v>
      </c>
    </row>
    <row r="267" spans="1:8" x14ac:dyDescent="0.2">
      <c r="A267" s="3">
        <f t="shared" si="4"/>
        <v>45597</v>
      </c>
      <c r="B267" t="str" cm="1">
        <f t="array" ref="B267">INDEX($J$2:$J$5, MOD(ROW()-2,4)+1)</f>
        <v>Dior</v>
      </c>
      <c r="C267" t="str" cm="1">
        <f t="array" ref="C267">INDEX($L$2:$L$4, INT(MOD(ROW()-2,12)/4)+1)</f>
        <v>Tier 1</v>
      </c>
      <c r="D267">
        <v>130</v>
      </c>
      <c r="E267">
        <v>11440</v>
      </c>
      <c r="F267">
        <v>24</v>
      </c>
      <c r="G267">
        <v>11</v>
      </c>
      <c r="H267" s="6">
        <v>0.33</v>
      </c>
    </row>
    <row r="268" spans="1:8" x14ac:dyDescent="0.2">
      <c r="A268" s="3">
        <f t="shared" si="4"/>
        <v>45597</v>
      </c>
      <c r="B268" t="str" cm="1">
        <f t="array" ref="B268">INDEX($J$2:$J$5, MOD(ROW()-2,4)+1)</f>
        <v>Gucci</v>
      </c>
      <c r="C268" t="str" cm="1">
        <f t="array" ref="C268">INDEX($L$2:$L$4, INT(MOD(ROW()-2,12)/4)+1)</f>
        <v>Tier 1</v>
      </c>
      <c r="D268">
        <v>109</v>
      </c>
      <c r="E268">
        <v>9036</v>
      </c>
      <c r="F268">
        <v>19</v>
      </c>
      <c r="G268">
        <v>12</v>
      </c>
      <c r="H268" s="6">
        <v>0.35</v>
      </c>
    </row>
    <row r="269" spans="1:8" x14ac:dyDescent="0.2">
      <c r="A269" s="3">
        <f t="shared" si="4"/>
        <v>45597</v>
      </c>
      <c r="B269" t="str" cm="1">
        <f t="array" ref="B269">INDEX($J$2:$J$5, MOD(ROW()-2,4)+1)</f>
        <v>Chanel</v>
      </c>
      <c r="C269" t="str" cm="1">
        <f t="array" ref="C269">INDEX($L$2:$L$4, INT(MOD(ROW()-2,12)/4)+1)</f>
        <v>Tier 1</v>
      </c>
      <c r="D269">
        <v>93</v>
      </c>
      <c r="E269">
        <v>8627</v>
      </c>
      <c r="F269">
        <v>15</v>
      </c>
      <c r="G269">
        <v>11</v>
      </c>
      <c r="H269" s="6">
        <v>0.26</v>
      </c>
    </row>
    <row r="270" spans="1:8" x14ac:dyDescent="0.2">
      <c r="A270" s="3">
        <f t="shared" si="4"/>
        <v>45597</v>
      </c>
      <c r="B270" t="str" cm="1">
        <f t="array" ref="B270">INDEX($J$2:$J$5, MOD(ROW()-2,4)+1)</f>
        <v>Louis Vuitton</v>
      </c>
      <c r="C270" t="str" cm="1">
        <f t="array" ref="C270">INDEX($L$2:$L$4, INT(MOD(ROW()-2,12)/4)+1)</f>
        <v>New Tier 1</v>
      </c>
      <c r="D270">
        <v>133</v>
      </c>
      <c r="E270">
        <v>13037</v>
      </c>
      <c r="F270">
        <v>28</v>
      </c>
      <c r="G270">
        <v>10</v>
      </c>
      <c r="H270" s="6">
        <v>0.46</v>
      </c>
    </row>
    <row r="271" spans="1:8" x14ac:dyDescent="0.2">
      <c r="A271" s="3">
        <f t="shared" si="4"/>
        <v>45597</v>
      </c>
      <c r="B271" t="str" cm="1">
        <f t="array" ref="B271">INDEX($J$2:$J$5, MOD(ROW()-2,4)+1)</f>
        <v>Dior</v>
      </c>
      <c r="C271" t="str" cm="1">
        <f t="array" ref="C271">INDEX($L$2:$L$4, INT(MOD(ROW()-2,12)/4)+1)</f>
        <v>New Tier 1</v>
      </c>
      <c r="D271">
        <v>110</v>
      </c>
      <c r="E271">
        <v>10416</v>
      </c>
      <c r="F271">
        <v>19</v>
      </c>
      <c r="G271">
        <v>11</v>
      </c>
      <c r="H271" s="6">
        <v>0.5</v>
      </c>
    </row>
    <row r="272" spans="1:8" x14ac:dyDescent="0.2">
      <c r="A272" s="3">
        <f t="shared" si="4"/>
        <v>45597</v>
      </c>
      <c r="B272" t="str" cm="1">
        <f t="array" ref="B272">INDEX($J$2:$J$5, MOD(ROW()-2,4)+1)</f>
        <v>Gucci</v>
      </c>
      <c r="C272" t="str" cm="1">
        <f t="array" ref="C272">INDEX($L$2:$L$4, INT(MOD(ROW()-2,12)/4)+1)</f>
        <v>New Tier 1</v>
      </c>
      <c r="D272">
        <v>105</v>
      </c>
      <c r="E272">
        <v>8541</v>
      </c>
      <c r="F272">
        <v>16</v>
      </c>
      <c r="G272">
        <v>12</v>
      </c>
      <c r="H272" s="6">
        <v>0.28000000000000003</v>
      </c>
    </row>
    <row r="273" spans="1:8" x14ac:dyDescent="0.2">
      <c r="A273" s="3">
        <f t="shared" si="4"/>
        <v>45597</v>
      </c>
      <c r="B273" t="str" cm="1">
        <f t="array" ref="B273">INDEX($J$2:$J$5, MOD(ROW()-2,4)+1)</f>
        <v>Chanel</v>
      </c>
      <c r="C273" t="str" cm="1">
        <f t="array" ref="C273">INDEX($L$2:$L$4, INT(MOD(ROW()-2,12)/4)+1)</f>
        <v>New Tier 1</v>
      </c>
      <c r="D273">
        <v>92</v>
      </c>
      <c r="E273">
        <v>8632</v>
      </c>
      <c r="F273">
        <v>12</v>
      </c>
      <c r="G273">
        <v>11</v>
      </c>
      <c r="H273" s="6">
        <v>0.44</v>
      </c>
    </row>
    <row r="274" spans="1:8" x14ac:dyDescent="0.2">
      <c r="A274" s="3">
        <f t="shared" si="4"/>
        <v>45597</v>
      </c>
      <c r="B274" t="str" cm="1">
        <f t="array" ref="B274">INDEX($J$2:$J$5, MOD(ROW()-2,4)+1)</f>
        <v>Louis Vuitton</v>
      </c>
      <c r="C274" t="str" cm="1">
        <f t="array" ref="C274">INDEX($L$2:$L$4, INT(MOD(ROW()-2,12)/4)+1)</f>
        <v>Tier 2</v>
      </c>
      <c r="D274">
        <v>109</v>
      </c>
      <c r="E274">
        <v>12292</v>
      </c>
      <c r="F274">
        <v>20</v>
      </c>
      <c r="G274">
        <v>9</v>
      </c>
      <c r="H274" s="6">
        <v>0.26</v>
      </c>
    </row>
    <row r="275" spans="1:8" x14ac:dyDescent="0.2">
      <c r="A275" s="3">
        <f t="shared" si="4"/>
        <v>45597</v>
      </c>
      <c r="B275" t="str" cm="1">
        <f t="array" ref="B275">INDEX($J$2:$J$5, MOD(ROW()-2,4)+1)</f>
        <v>Dior</v>
      </c>
      <c r="C275" t="str" cm="1">
        <f t="array" ref="C275">INDEX($L$2:$L$4, INT(MOD(ROW()-2,12)/4)+1)</f>
        <v>Tier 2</v>
      </c>
      <c r="D275">
        <v>82</v>
      </c>
      <c r="E275">
        <v>9093</v>
      </c>
      <c r="F275">
        <v>12</v>
      </c>
      <c r="G275">
        <v>9</v>
      </c>
      <c r="H275" s="6">
        <v>0.33</v>
      </c>
    </row>
    <row r="276" spans="1:8" x14ac:dyDescent="0.2">
      <c r="A276" s="3">
        <f t="shared" si="4"/>
        <v>45597</v>
      </c>
      <c r="B276" t="str" cm="1">
        <f t="array" ref="B276">INDEX($J$2:$J$5, MOD(ROW()-2,4)+1)</f>
        <v>Gucci</v>
      </c>
      <c r="C276" t="str" cm="1">
        <f t="array" ref="C276">INDEX($L$2:$L$4, INT(MOD(ROW()-2,12)/4)+1)</f>
        <v>Tier 2</v>
      </c>
      <c r="D276">
        <v>74</v>
      </c>
      <c r="E276">
        <v>7847</v>
      </c>
      <c r="F276">
        <v>10</v>
      </c>
      <c r="G276">
        <v>9</v>
      </c>
      <c r="H276" s="6">
        <v>0.43</v>
      </c>
    </row>
    <row r="277" spans="1:8" x14ac:dyDescent="0.2">
      <c r="A277" s="3">
        <f t="shared" si="4"/>
        <v>45597</v>
      </c>
      <c r="B277" t="str" cm="1">
        <f t="array" ref="B277">INDEX($J$2:$J$5, MOD(ROW()-2,4)+1)</f>
        <v>Chanel</v>
      </c>
      <c r="C277" t="str" cm="1">
        <f t="array" ref="C277">INDEX($L$2:$L$4, INT(MOD(ROW()-2,12)/4)+1)</f>
        <v>Tier 2</v>
      </c>
      <c r="D277">
        <v>59</v>
      </c>
      <c r="E277">
        <v>7350</v>
      </c>
      <c r="F277">
        <v>6</v>
      </c>
      <c r="G277">
        <v>8</v>
      </c>
      <c r="H277" s="6">
        <v>0.37</v>
      </c>
    </row>
    <row r="278" spans="1:8" x14ac:dyDescent="0.2">
      <c r="A278" s="3">
        <f t="shared" si="4"/>
        <v>45627</v>
      </c>
      <c r="B278" t="str" cm="1">
        <f t="array" ref="B278">INDEX($J$2:$J$5, MOD(ROW()-2,4)+1)</f>
        <v>Louis Vuitton</v>
      </c>
      <c r="C278" t="str" cm="1">
        <f t="array" ref="C278">INDEX($L$2:$L$4, INT(MOD(ROW()-2,12)/4)+1)</f>
        <v>Tier 1</v>
      </c>
      <c r="D278">
        <v>161</v>
      </c>
      <c r="E278">
        <v>14149</v>
      </c>
      <c r="F278">
        <v>34</v>
      </c>
      <c r="G278">
        <v>11</v>
      </c>
      <c r="H278" s="6">
        <v>0.21</v>
      </c>
    </row>
    <row r="279" spans="1:8" x14ac:dyDescent="0.2">
      <c r="A279" s="3">
        <f t="shared" si="4"/>
        <v>45627</v>
      </c>
      <c r="B279" t="str" cm="1">
        <f t="array" ref="B279">INDEX($J$2:$J$5, MOD(ROW()-2,4)+1)</f>
        <v>Dior</v>
      </c>
      <c r="C279" t="str" cm="1">
        <f t="array" ref="C279">INDEX($L$2:$L$4, INT(MOD(ROW()-2,12)/4)+1)</f>
        <v>Tier 1</v>
      </c>
      <c r="D279">
        <v>127</v>
      </c>
      <c r="E279">
        <v>10814</v>
      </c>
      <c r="F279">
        <v>26</v>
      </c>
      <c r="G279">
        <v>12</v>
      </c>
      <c r="H279" s="6">
        <v>0.48</v>
      </c>
    </row>
    <row r="280" spans="1:8" x14ac:dyDescent="0.2">
      <c r="A280" s="3">
        <f t="shared" si="4"/>
        <v>45627</v>
      </c>
      <c r="B280" t="str" cm="1">
        <f t="array" ref="B280">INDEX($J$2:$J$5, MOD(ROW()-2,4)+1)</f>
        <v>Gucci</v>
      </c>
      <c r="C280" t="str" cm="1">
        <f t="array" ref="C280">INDEX($L$2:$L$4, INT(MOD(ROW()-2,12)/4)+1)</f>
        <v>Tier 1</v>
      </c>
      <c r="D280">
        <v>119</v>
      </c>
      <c r="E280">
        <v>9403</v>
      </c>
      <c r="F280">
        <v>21</v>
      </c>
      <c r="G280">
        <v>13</v>
      </c>
      <c r="H280" s="6">
        <v>0.41</v>
      </c>
    </row>
    <row r="281" spans="1:8" x14ac:dyDescent="0.2">
      <c r="A281" s="3">
        <f t="shared" si="4"/>
        <v>45627</v>
      </c>
      <c r="B281" t="str" cm="1">
        <f t="array" ref="B281">INDEX($J$2:$J$5, MOD(ROW()-2,4)+1)</f>
        <v>Chanel</v>
      </c>
      <c r="C281" t="str" cm="1">
        <f t="array" ref="C281">INDEX($L$2:$L$4, INT(MOD(ROW()-2,12)/4)+1)</f>
        <v>Tier 1</v>
      </c>
      <c r="D281">
        <v>94</v>
      </c>
      <c r="E281">
        <v>8325</v>
      </c>
      <c r="F281">
        <v>13</v>
      </c>
      <c r="G281">
        <v>11</v>
      </c>
      <c r="H281" s="6">
        <v>0.42</v>
      </c>
    </row>
    <row r="282" spans="1:8" x14ac:dyDescent="0.2">
      <c r="A282" s="3">
        <f t="shared" si="4"/>
        <v>45627</v>
      </c>
      <c r="B282" t="str" cm="1">
        <f t="array" ref="B282">INDEX($J$2:$J$5, MOD(ROW()-2,4)+1)</f>
        <v>Louis Vuitton</v>
      </c>
      <c r="C282" t="str" cm="1">
        <f t="array" ref="C282">INDEX($L$2:$L$4, INT(MOD(ROW()-2,12)/4)+1)</f>
        <v>New Tier 1</v>
      </c>
      <c r="D282">
        <v>147</v>
      </c>
      <c r="E282">
        <v>13815</v>
      </c>
      <c r="F282">
        <v>31</v>
      </c>
      <c r="G282">
        <v>11</v>
      </c>
      <c r="H282" s="6">
        <v>0.26</v>
      </c>
    </row>
    <row r="283" spans="1:8" x14ac:dyDescent="0.2">
      <c r="A283" s="3">
        <f t="shared" si="4"/>
        <v>45627</v>
      </c>
      <c r="B283" t="str" cm="1">
        <f t="array" ref="B283">INDEX($J$2:$J$5, MOD(ROW()-2,4)+1)</f>
        <v>Dior</v>
      </c>
      <c r="C283" t="str" cm="1">
        <f t="array" ref="C283">INDEX($L$2:$L$4, INT(MOD(ROW()-2,12)/4)+1)</f>
        <v>New Tier 1</v>
      </c>
      <c r="D283">
        <v>99</v>
      </c>
      <c r="E283">
        <v>10114</v>
      </c>
      <c r="F283">
        <v>19</v>
      </c>
      <c r="G283">
        <v>10</v>
      </c>
      <c r="H283" s="6">
        <v>0.31</v>
      </c>
    </row>
    <row r="284" spans="1:8" x14ac:dyDescent="0.2">
      <c r="A284" s="3">
        <f t="shared" si="4"/>
        <v>45627</v>
      </c>
      <c r="B284" t="str" cm="1">
        <f t="array" ref="B284">INDEX($J$2:$J$5, MOD(ROW()-2,4)+1)</f>
        <v>Gucci</v>
      </c>
      <c r="C284" t="str" cm="1">
        <f t="array" ref="C284">INDEX($L$2:$L$4, INT(MOD(ROW()-2,12)/4)+1)</f>
        <v>New Tier 1</v>
      </c>
      <c r="D284">
        <v>103</v>
      </c>
      <c r="E284">
        <v>8932</v>
      </c>
      <c r="F284">
        <v>15</v>
      </c>
      <c r="G284">
        <v>12</v>
      </c>
      <c r="H284" s="6">
        <v>0.48</v>
      </c>
    </row>
    <row r="285" spans="1:8" x14ac:dyDescent="0.2">
      <c r="A285" s="3">
        <f t="shared" si="4"/>
        <v>45627</v>
      </c>
      <c r="B285" t="str" cm="1">
        <f t="array" ref="B285">INDEX($J$2:$J$5, MOD(ROW()-2,4)+1)</f>
        <v>Chanel</v>
      </c>
      <c r="C285" t="str" cm="1">
        <f t="array" ref="C285">INDEX($L$2:$L$4, INT(MOD(ROW()-2,12)/4)+1)</f>
        <v>New Tier 1</v>
      </c>
      <c r="D285">
        <v>86</v>
      </c>
      <c r="E285">
        <v>8362</v>
      </c>
      <c r="F285">
        <v>11</v>
      </c>
      <c r="G285">
        <v>10</v>
      </c>
      <c r="H285" s="6">
        <v>0.22</v>
      </c>
    </row>
    <row r="286" spans="1:8" x14ac:dyDescent="0.2">
      <c r="A286" s="3">
        <f t="shared" si="4"/>
        <v>45627</v>
      </c>
      <c r="B286" t="str" cm="1">
        <f t="array" ref="B286">INDEX($J$2:$J$5, MOD(ROW()-2,4)+1)</f>
        <v>Louis Vuitton</v>
      </c>
      <c r="C286" t="str" cm="1">
        <f t="array" ref="C286">INDEX($L$2:$L$4, INT(MOD(ROW()-2,12)/4)+1)</f>
        <v>Tier 2</v>
      </c>
      <c r="D286">
        <v>96</v>
      </c>
      <c r="E286">
        <v>11423</v>
      </c>
      <c r="F286">
        <v>16</v>
      </c>
      <c r="G286">
        <v>8</v>
      </c>
      <c r="H286" s="6">
        <v>0.28000000000000003</v>
      </c>
    </row>
    <row r="287" spans="1:8" x14ac:dyDescent="0.2">
      <c r="A287" s="3">
        <f t="shared" si="4"/>
        <v>45627</v>
      </c>
      <c r="B287" t="str" cm="1">
        <f t="array" ref="B287">INDEX($J$2:$J$5, MOD(ROW()-2,4)+1)</f>
        <v>Dior</v>
      </c>
      <c r="C287" t="str" cm="1">
        <f t="array" ref="C287">INDEX($L$2:$L$4, INT(MOD(ROW()-2,12)/4)+1)</f>
        <v>Tier 2</v>
      </c>
      <c r="D287">
        <v>80</v>
      </c>
      <c r="E287">
        <v>9529</v>
      </c>
      <c r="F287">
        <v>12</v>
      </c>
      <c r="G287">
        <v>8</v>
      </c>
      <c r="H287" s="6">
        <v>0.25</v>
      </c>
    </row>
    <row r="288" spans="1:8" x14ac:dyDescent="0.2">
      <c r="A288" s="3">
        <f t="shared" si="4"/>
        <v>45627</v>
      </c>
      <c r="B288" t="str" cm="1">
        <f t="array" ref="B288">INDEX($J$2:$J$5, MOD(ROW()-2,4)+1)</f>
        <v>Gucci</v>
      </c>
      <c r="C288" t="str" cm="1">
        <f t="array" ref="C288">INDEX($L$2:$L$4, INT(MOD(ROW()-2,12)/4)+1)</f>
        <v>Tier 2</v>
      </c>
      <c r="D288">
        <v>69</v>
      </c>
      <c r="E288">
        <v>8168</v>
      </c>
      <c r="F288">
        <v>9</v>
      </c>
      <c r="G288">
        <v>8</v>
      </c>
      <c r="H288" s="6">
        <v>0.21</v>
      </c>
    </row>
    <row r="289" spans="1:8" x14ac:dyDescent="0.2">
      <c r="A289" s="3">
        <f t="shared" si="4"/>
        <v>45627</v>
      </c>
      <c r="B289" t="str" cm="1">
        <f t="array" ref="B289">INDEX($J$2:$J$5, MOD(ROW()-2,4)+1)</f>
        <v>Chanel</v>
      </c>
      <c r="C289" t="str" cm="1">
        <f t="array" ref="C289">INDEX($L$2:$L$4, INT(MOD(ROW()-2,12)/4)+1)</f>
        <v>Tier 2</v>
      </c>
      <c r="D289">
        <v>60</v>
      </c>
      <c r="E289">
        <v>7630</v>
      </c>
      <c r="F289">
        <v>7</v>
      </c>
      <c r="G289">
        <v>8</v>
      </c>
      <c r="H289" s="6">
        <v>0.21</v>
      </c>
    </row>
    <row r="290" spans="1:8" x14ac:dyDescent="0.2">
      <c r="A290" s="3">
        <f t="shared" si="4"/>
        <v>45658</v>
      </c>
      <c r="B290" t="str" cm="1">
        <f t="array" ref="B290">INDEX($J$2:$J$5, MOD(ROW()-2,4)+1)</f>
        <v>Louis Vuitton</v>
      </c>
      <c r="C290" t="str" cm="1">
        <f t="array" ref="C290">INDEX($L$2:$L$4, INT(MOD(ROW()-2,12)/4)+1)</f>
        <v>Tier 1</v>
      </c>
      <c r="D290">
        <v>170</v>
      </c>
      <c r="E290">
        <v>13964</v>
      </c>
      <c r="F290">
        <v>37</v>
      </c>
      <c r="G290">
        <v>12</v>
      </c>
      <c r="H290" s="6">
        <v>0.39</v>
      </c>
    </row>
    <row r="291" spans="1:8" x14ac:dyDescent="0.2">
      <c r="A291" s="3">
        <f t="shared" si="4"/>
        <v>45658</v>
      </c>
      <c r="B291" t="str" cm="1">
        <f t="array" ref="B291">INDEX($J$2:$J$5, MOD(ROW()-2,4)+1)</f>
        <v>Dior</v>
      </c>
      <c r="C291" t="str" cm="1">
        <f t="array" ref="C291">INDEX($L$2:$L$4, INT(MOD(ROW()-2,12)/4)+1)</f>
        <v>Tier 1</v>
      </c>
      <c r="D291">
        <v>127</v>
      </c>
      <c r="E291">
        <v>11111</v>
      </c>
      <c r="F291">
        <v>26</v>
      </c>
      <c r="G291">
        <v>11</v>
      </c>
      <c r="H291" s="6">
        <v>0.3</v>
      </c>
    </row>
    <row r="292" spans="1:8" x14ac:dyDescent="0.2">
      <c r="A292" s="3">
        <f>DATE(2023,1+INT((ROW()-2)/12),1)</f>
        <v>45658</v>
      </c>
      <c r="B292" t="str" cm="1">
        <f t="array" ref="B292">INDEX($J$2:$J$5, MOD(ROW()-2,4)+1)</f>
        <v>Gucci</v>
      </c>
      <c r="C292" t="str" cm="1">
        <f t="array" ref="C292">INDEX($L$2:$L$4, INT(MOD(ROW()-2,12)/4)+1)</f>
        <v>Tier 1</v>
      </c>
      <c r="D292">
        <v>112</v>
      </c>
      <c r="E292">
        <v>9031</v>
      </c>
      <c r="F292">
        <v>18</v>
      </c>
      <c r="G292">
        <v>12</v>
      </c>
      <c r="H292" s="6">
        <v>0.39</v>
      </c>
    </row>
  </sheetData>
  <conditionalFormatting sqref="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tianyingh118@gmail.com</dc:creator>
  <cp:lastModifiedBy>tianyingh118@gmail.com</cp:lastModifiedBy>
  <dcterms:created xsi:type="dcterms:W3CDTF">2026-02-25T21:00:06Z</dcterms:created>
  <dcterms:modified xsi:type="dcterms:W3CDTF">2026-03-11T22:12:46Z</dcterms:modified>
</cp:coreProperties>
</file>